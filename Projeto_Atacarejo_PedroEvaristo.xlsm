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slicers/slicer1.xml" ContentType="application/vnd.ms-excel.slicer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2.xml" ContentType="application/vnd.openxmlformats-officedocument.drawing+xml"/>
  <Override PartName="/xl/slicers/slicer2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4.xml" ContentType="application/vnd.openxmlformats-officedocument.drawing+xml"/>
  <Override PartName="/xl/slicers/slicer3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6.xml" ContentType="application/vnd.openxmlformats-officedocument.drawing+xml"/>
  <Override PartName="/xl/slicers/slicer4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8.xml" ContentType="application/vnd.openxmlformats-officedocument.drawing+xml"/>
  <Override PartName="/xl/slicers/slicer5.xml" ContentType="application/vnd.ms-excel.slicer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38047e033ba543d5/Documentos/Curso de excel udemy/Projeto/"/>
    </mc:Choice>
  </mc:AlternateContent>
  <xr:revisionPtr revIDLastSave="2617" documentId="8_{31DCA3CC-DF53-43A9-A7AA-D0AED99B552A}" xr6:coauthVersionLast="47" xr6:coauthVersionMax="47" xr10:uidLastSave="{68A0ADBA-D396-4234-B4BC-E4BA7372CBD7}"/>
  <bookViews>
    <workbookView xWindow="-108" yWindow="-108" windowWidth="23256" windowHeight="12456" firstSheet="1" activeTab="1" xr2:uid="{00000000-000D-0000-FFFF-FFFF00000000}"/>
  </bookViews>
  <sheets>
    <sheet name="Introdução" sheetId="20" state="hidden" r:id="rId1"/>
    <sheet name="Menu" sheetId="1" r:id="rId2"/>
    <sheet name="Despesas " sheetId="2" r:id="rId3"/>
    <sheet name="Compras Mercadorias" sheetId="6" r:id="rId4"/>
    <sheet name="Investimentos" sheetId="7" r:id="rId5"/>
    <sheet name="Controle de Estoque" sheetId="8" r:id="rId6"/>
    <sheet name="Resultados" sheetId="4" r:id="rId7"/>
    <sheet name="Vendas do Mês" sheetId="3" r:id="rId8"/>
    <sheet name="Semana 1" sheetId="9" r:id="rId9"/>
    <sheet name="Análise Semana 1" sheetId="14" r:id="rId10"/>
    <sheet name="Semana 2" sheetId="10" r:id="rId11"/>
    <sheet name="Análise Semana 2" sheetId="16" r:id="rId12"/>
    <sheet name="Semana 3" sheetId="11" r:id="rId13"/>
    <sheet name="Análise Semana 3" sheetId="17" r:id="rId14"/>
    <sheet name="Semana 4" sheetId="12" r:id="rId15"/>
    <sheet name="Análise Semana 4" sheetId="18" r:id="rId16"/>
    <sheet name="Semana 5" sheetId="13" r:id="rId17"/>
    <sheet name="Análise Semana 5" sheetId="19" r:id="rId18"/>
    <sheet name="Cálculos e Anotações" sheetId="5" state="hidden" r:id="rId19"/>
  </sheets>
  <definedNames>
    <definedName name="_xlnm._FilterDatabase" localSheetId="18" hidden="1">'Cálculos e Anotações'!$K$4:$N$4</definedName>
    <definedName name="_xleta.AND" hidden="1" xlm="1">#NAME?</definedName>
    <definedName name="_xleta.IF" hidden="1" xlm="1">#NAME?</definedName>
    <definedName name="_xleta.IFERROR" hidden="1" xlm="1">#NAME?</definedName>
    <definedName name="SegmentaçãodeDados_Data">#N/A</definedName>
    <definedName name="SegmentaçãodeDados_Data1">#N/A</definedName>
    <definedName name="SegmentaçãodeDados_Data2">#N/A</definedName>
    <definedName name="SegmentaçãodeDados_Data3">#N/A</definedName>
    <definedName name="SegmentaçãodeDados_Data4">#N/A</definedName>
    <definedName name="SegmentaçãodeDados_Entrega">#N/A</definedName>
    <definedName name="SegmentaçãodeDados_Entrega1">#N/A</definedName>
    <definedName name="SegmentaçãodeDados_Entrega2">#N/A</definedName>
    <definedName name="SegmentaçãodeDados_Entrega3">#N/A</definedName>
    <definedName name="SegmentaçãodeDados_Entrega4">#N/A</definedName>
  </definedNames>
  <calcPr calcId="191028"/>
  <pivotCaches>
    <pivotCache cacheId="0" r:id="rId20"/>
    <pivotCache cacheId="1" r:id="rId21"/>
    <pivotCache cacheId="2" r:id="rId22"/>
    <pivotCache cacheId="3" r:id="rId23"/>
    <pivotCache cacheId="4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8" l="1"/>
  <c r="D6" i="8"/>
  <c r="G57" i="5" a="1"/>
  <c r="G57" i="5" s="1"/>
  <c r="G7" i="5" a="1"/>
  <c r="G7" i="5"/>
  <c r="G6" i="5"/>
  <c r="C16" i="5"/>
  <c r="C17" i="5"/>
  <c r="D8" i="5"/>
  <c r="D12" i="5"/>
  <c r="L5" i="13"/>
  <c r="L6" i="13"/>
  <c r="L7" i="13"/>
  <c r="L8" i="13"/>
  <c r="L11" i="13"/>
  <c r="L12" i="13"/>
  <c r="L13" i="13"/>
  <c r="L14" i="13"/>
  <c r="L9" i="13"/>
  <c r="L10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F26" i="13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Q28" i="9"/>
  <c r="M7" i="9"/>
  <c r="M9" i="9"/>
  <c r="M10" i="9"/>
  <c r="M11" i="9"/>
  <c r="M12" i="9"/>
  <c r="M13" i="9"/>
  <c r="M15" i="9"/>
  <c r="M16" i="9"/>
  <c r="M17" i="9"/>
  <c r="M18" i="9"/>
  <c r="G14" i="2"/>
  <c r="G21" i="2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30" i="6"/>
  <c r="G29" i="6"/>
  <c r="G6" i="6"/>
  <c r="G5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I7" i="6" s="1"/>
  <c r="E7" i="6"/>
  <c r="N34" i="13" l="1" a="1"/>
  <c r="N34" i="13" s="1"/>
  <c r="M34" i="12" a="1"/>
  <c r="M34" i="12" s="1"/>
  <c r="M34" i="11" a="1"/>
  <c r="M34" i="11" s="1"/>
  <c r="M34" i="10" a="1"/>
  <c r="M34" i="10" s="1"/>
  <c r="M24" i="9" a="1"/>
  <c r="M24" i="9" s="1"/>
  <c r="G50" i="5"/>
  <c r="G53" i="5"/>
  <c r="L47" i="5" a="1"/>
  <c r="L47" i="5" s="1"/>
  <c r="J47" i="5" a="1"/>
  <c r="J47" i="5" s="1"/>
  <c r="E47" i="5" a="1"/>
  <c r="E47" i="5" s="1"/>
  <c r="G47" i="5" s="1"/>
  <c r="C18" i="3"/>
  <c r="G29" i="12"/>
  <c r="H29" i="12" s="1"/>
  <c r="E29" i="12"/>
  <c r="M28" i="12"/>
  <c r="G28" i="12"/>
  <c r="H28" i="12" s="1"/>
  <c r="E28" i="12"/>
  <c r="M27" i="12"/>
  <c r="G27" i="12"/>
  <c r="H27" i="12" s="1"/>
  <c r="E27" i="12"/>
  <c r="G26" i="12"/>
  <c r="H26" i="12" s="1"/>
  <c r="E26" i="12"/>
  <c r="G25" i="12"/>
  <c r="H25" i="12" s="1"/>
  <c r="E25" i="12"/>
  <c r="G24" i="12"/>
  <c r="H24" i="12" s="1"/>
  <c r="E24" i="12"/>
  <c r="M23" i="12"/>
  <c r="G23" i="12"/>
  <c r="H23" i="12" s="1"/>
  <c r="E23" i="12"/>
  <c r="G22" i="12"/>
  <c r="H22" i="12" s="1"/>
  <c r="E22" i="12"/>
  <c r="G21" i="12"/>
  <c r="H21" i="12" s="1"/>
  <c r="E21" i="12"/>
  <c r="M20" i="12"/>
  <c r="G20" i="12"/>
  <c r="H20" i="12" s="1"/>
  <c r="E20" i="12"/>
  <c r="M19" i="12"/>
  <c r="G19" i="12"/>
  <c r="H19" i="12" s="1"/>
  <c r="E19" i="12"/>
  <c r="G18" i="12"/>
  <c r="H18" i="12" s="1"/>
  <c r="E18" i="12"/>
  <c r="G14" i="12"/>
  <c r="H14" i="12" s="1"/>
  <c r="E14" i="12"/>
  <c r="G17" i="12"/>
  <c r="H17" i="12" s="1"/>
  <c r="E17" i="12"/>
  <c r="M16" i="12"/>
  <c r="G16" i="12"/>
  <c r="H16" i="12" s="1"/>
  <c r="E16" i="12"/>
  <c r="M15" i="12"/>
  <c r="G15" i="12"/>
  <c r="H15" i="12" s="1"/>
  <c r="E15" i="12"/>
  <c r="G7" i="12"/>
  <c r="H7" i="12" s="1"/>
  <c r="E7" i="12"/>
  <c r="G13" i="12"/>
  <c r="H13" i="12" s="1"/>
  <c r="E13" i="12"/>
  <c r="M12" i="12"/>
  <c r="G12" i="12"/>
  <c r="H12" i="12" s="1"/>
  <c r="E12" i="12"/>
  <c r="G11" i="12"/>
  <c r="H11" i="12" s="1"/>
  <c r="E11" i="12"/>
  <c r="G10" i="12"/>
  <c r="H10" i="12" s="1"/>
  <c r="E10" i="12"/>
  <c r="G9" i="12"/>
  <c r="H9" i="12" s="1"/>
  <c r="E9" i="12"/>
  <c r="G8" i="12"/>
  <c r="H8" i="12" s="1"/>
  <c r="E8" i="12"/>
  <c r="G6" i="12"/>
  <c r="H6" i="12" s="1"/>
  <c r="E6" i="12"/>
  <c r="M5" i="12"/>
  <c r="G5" i="12"/>
  <c r="H5" i="12" s="1"/>
  <c r="E5" i="12"/>
  <c r="G29" i="11"/>
  <c r="H29" i="11" s="1"/>
  <c r="E29" i="11"/>
  <c r="M28" i="11"/>
  <c r="G28" i="11"/>
  <c r="H28" i="11" s="1"/>
  <c r="E28" i="11"/>
  <c r="M27" i="11"/>
  <c r="G27" i="11"/>
  <c r="H27" i="11" s="1"/>
  <c r="E27" i="11"/>
  <c r="G26" i="11"/>
  <c r="H26" i="11" s="1"/>
  <c r="E26" i="11"/>
  <c r="G25" i="11"/>
  <c r="H25" i="11" s="1"/>
  <c r="E25" i="11"/>
  <c r="G24" i="11"/>
  <c r="H24" i="11" s="1"/>
  <c r="E24" i="11"/>
  <c r="M23" i="11"/>
  <c r="G23" i="11"/>
  <c r="H23" i="11" s="1"/>
  <c r="E23" i="11"/>
  <c r="G22" i="11"/>
  <c r="H22" i="11" s="1"/>
  <c r="E22" i="11"/>
  <c r="G21" i="11"/>
  <c r="H21" i="11" s="1"/>
  <c r="E21" i="11"/>
  <c r="M20" i="11"/>
  <c r="G20" i="11"/>
  <c r="H20" i="11" s="1"/>
  <c r="E20" i="11"/>
  <c r="M19" i="11"/>
  <c r="G19" i="11"/>
  <c r="H19" i="11" s="1"/>
  <c r="E19" i="11"/>
  <c r="G18" i="11"/>
  <c r="H18" i="11" s="1"/>
  <c r="E18" i="11"/>
  <c r="G17" i="11"/>
  <c r="H17" i="11" s="1"/>
  <c r="E17" i="11"/>
  <c r="G16" i="11"/>
  <c r="H16" i="11" s="1"/>
  <c r="E16" i="11"/>
  <c r="M15" i="11"/>
  <c r="G15" i="11"/>
  <c r="H15" i="11" s="1"/>
  <c r="E15" i="11"/>
  <c r="M14" i="11"/>
  <c r="G14" i="11"/>
  <c r="H14" i="11" s="1"/>
  <c r="E14" i="11"/>
  <c r="G13" i="11"/>
  <c r="H13" i="11" s="1"/>
  <c r="E13" i="11"/>
  <c r="G12" i="11"/>
  <c r="H12" i="11" s="1"/>
  <c r="E12" i="11"/>
  <c r="M11" i="11"/>
  <c r="G11" i="11"/>
  <c r="H11" i="11" s="1"/>
  <c r="E11" i="11"/>
  <c r="G10" i="11"/>
  <c r="H10" i="11" s="1"/>
  <c r="E10" i="11"/>
  <c r="G9" i="11"/>
  <c r="H9" i="11" s="1"/>
  <c r="E9" i="11"/>
  <c r="G8" i="11"/>
  <c r="H8" i="11" s="1"/>
  <c r="E8" i="11"/>
  <c r="G7" i="11"/>
  <c r="H7" i="11" s="1"/>
  <c r="E7" i="11"/>
  <c r="M6" i="11"/>
  <c r="G6" i="11"/>
  <c r="H6" i="11" s="1"/>
  <c r="E6" i="11"/>
  <c r="M5" i="11"/>
  <c r="G5" i="11"/>
  <c r="H5" i="11" s="1"/>
  <c r="E5" i="11"/>
  <c r="G29" i="10"/>
  <c r="H29" i="10" s="1"/>
  <c r="E29" i="10"/>
  <c r="M28" i="10"/>
  <c r="G28" i="10"/>
  <c r="H28" i="10" s="1"/>
  <c r="E28" i="10"/>
  <c r="M27" i="10"/>
  <c r="G27" i="10"/>
  <c r="H27" i="10" s="1"/>
  <c r="E27" i="10"/>
  <c r="G26" i="10"/>
  <c r="H26" i="10" s="1"/>
  <c r="E26" i="10"/>
  <c r="G24" i="10"/>
  <c r="H24" i="10" s="1"/>
  <c r="E24" i="10"/>
  <c r="G23" i="10"/>
  <c r="H23" i="10" s="1"/>
  <c r="E23" i="10"/>
  <c r="M22" i="10"/>
  <c r="G22" i="10"/>
  <c r="H22" i="10" s="1"/>
  <c r="E22" i="10"/>
  <c r="G25" i="10"/>
  <c r="H25" i="10" s="1"/>
  <c r="E25" i="10"/>
  <c r="G6" i="10"/>
  <c r="H6" i="10" s="1"/>
  <c r="E6" i="10"/>
  <c r="M5" i="10"/>
  <c r="G5" i="10"/>
  <c r="H5" i="10" s="1"/>
  <c r="E5" i="10"/>
  <c r="G17" i="10"/>
  <c r="H17" i="10" s="1"/>
  <c r="E17" i="10"/>
  <c r="G8" i="10"/>
  <c r="H8" i="10" s="1"/>
  <c r="E8" i="10"/>
  <c r="G7" i="10"/>
  <c r="H7" i="10" s="1"/>
  <c r="E7" i="10"/>
  <c r="G12" i="10"/>
  <c r="H12" i="10" s="1"/>
  <c r="E12" i="10"/>
  <c r="M11" i="10"/>
  <c r="G11" i="10"/>
  <c r="H11" i="10" s="1"/>
  <c r="E11" i="10"/>
  <c r="M10" i="10"/>
  <c r="G10" i="10"/>
  <c r="H10" i="10" s="1"/>
  <c r="E10" i="10"/>
  <c r="M9" i="10"/>
  <c r="G9" i="10"/>
  <c r="H9" i="10" s="1"/>
  <c r="E9" i="10"/>
  <c r="G16" i="10"/>
  <c r="H16" i="10" s="1"/>
  <c r="E16" i="10"/>
  <c r="M15" i="10"/>
  <c r="G15" i="10"/>
  <c r="H15" i="10" s="1"/>
  <c r="E15" i="10"/>
  <c r="G14" i="10"/>
  <c r="H14" i="10" s="1"/>
  <c r="E14" i="10"/>
  <c r="G13" i="10"/>
  <c r="H13" i="10" s="1"/>
  <c r="E13" i="10"/>
  <c r="G21" i="10"/>
  <c r="H21" i="10" s="1"/>
  <c r="E21" i="10"/>
  <c r="M20" i="10"/>
  <c r="G20" i="10"/>
  <c r="H20" i="10" s="1"/>
  <c r="E20" i="10"/>
  <c r="G19" i="10"/>
  <c r="H19" i="10" s="1"/>
  <c r="E19" i="10"/>
  <c r="M18" i="10"/>
  <c r="G18" i="10"/>
  <c r="H18" i="10" s="1"/>
  <c r="E18" i="10"/>
  <c r="H29" i="13"/>
  <c r="I29" i="13" s="1"/>
  <c r="F29" i="13"/>
  <c r="N28" i="13"/>
  <c r="H28" i="13"/>
  <c r="I28" i="13" s="1"/>
  <c r="F28" i="13"/>
  <c r="N27" i="13"/>
  <c r="H27" i="13"/>
  <c r="I27" i="13" s="1"/>
  <c r="F27" i="13"/>
  <c r="H26" i="13"/>
  <c r="I26" i="13" s="1"/>
  <c r="H25" i="13"/>
  <c r="I25" i="13" s="1"/>
  <c r="F25" i="13"/>
  <c r="H24" i="13"/>
  <c r="I24" i="13" s="1"/>
  <c r="F24" i="13"/>
  <c r="H23" i="13"/>
  <c r="I23" i="13" s="1"/>
  <c r="F23" i="13"/>
  <c r="H22" i="13"/>
  <c r="I22" i="13" s="1"/>
  <c r="F22" i="13"/>
  <c r="H21" i="13"/>
  <c r="I21" i="13" s="1"/>
  <c r="F21" i="13"/>
  <c r="H20" i="13"/>
  <c r="I20" i="13" s="1"/>
  <c r="F20" i="13"/>
  <c r="H19" i="13"/>
  <c r="I19" i="13" s="1"/>
  <c r="F19" i="13"/>
  <c r="H18" i="13"/>
  <c r="I18" i="13" s="1"/>
  <c r="F18" i="13"/>
  <c r="H17" i="13"/>
  <c r="I17" i="13" s="1"/>
  <c r="F17" i="13"/>
  <c r="H16" i="13"/>
  <c r="I16" i="13" s="1"/>
  <c r="F16" i="13"/>
  <c r="H15" i="13"/>
  <c r="I15" i="13" s="1"/>
  <c r="F15" i="13"/>
  <c r="H10" i="13"/>
  <c r="I10" i="13" s="1"/>
  <c r="F10" i="13"/>
  <c r="H9" i="13"/>
  <c r="I9" i="13" s="1"/>
  <c r="F9" i="13"/>
  <c r="H14" i="13"/>
  <c r="I14" i="13" s="1"/>
  <c r="F14" i="13"/>
  <c r="H13" i="13"/>
  <c r="I13" i="13" s="1"/>
  <c r="F13" i="13"/>
  <c r="H12" i="13"/>
  <c r="I12" i="13" s="1"/>
  <c r="F12" i="13"/>
  <c r="H11" i="13"/>
  <c r="I11" i="13" s="1"/>
  <c r="F11" i="13"/>
  <c r="H8" i="13"/>
  <c r="I8" i="13" s="1"/>
  <c r="F8" i="13"/>
  <c r="H7" i="13"/>
  <c r="I7" i="13" s="1"/>
  <c r="F7" i="13"/>
  <c r="H6" i="13"/>
  <c r="I6" i="13" s="1"/>
  <c r="F6" i="13"/>
  <c r="H5" i="13"/>
  <c r="I5" i="13" s="1"/>
  <c r="F5" i="13"/>
  <c r="G15" i="9"/>
  <c r="H15" i="9" s="1"/>
  <c r="G16" i="9"/>
  <c r="H16" i="9" s="1"/>
  <c r="G17" i="9"/>
  <c r="H17" i="9" s="1"/>
  <c r="G18" i="9"/>
  <c r="H18" i="9" s="1"/>
  <c r="G19" i="9"/>
  <c r="H19" i="9" s="1"/>
  <c r="G9" i="9"/>
  <c r="H9" i="9" s="1"/>
  <c r="G10" i="9"/>
  <c r="H10" i="9" s="1"/>
  <c r="G11" i="9"/>
  <c r="H11" i="9" s="1"/>
  <c r="G12" i="9"/>
  <c r="H12" i="9" s="1"/>
  <c r="G13" i="9"/>
  <c r="H13" i="9" s="1"/>
  <c r="G14" i="9"/>
  <c r="H14" i="9" s="1"/>
  <c r="G5" i="9"/>
  <c r="H5" i="9" s="1"/>
  <c r="G6" i="9"/>
  <c r="H6" i="9" s="1"/>
  <c r="G7" i="9"/>
  <c r="H7" i="9" s="1"/>
  <c r="L7" i="9" s="1"/>
  <c r="G8" i="9"/>
  <c r="H8" i="9" s="1"/>
  <c r="E15" i="9"/>
  <c r="E16" i="9"/>
  <c r="E17" i="9"/>
  <c r="E18" i="9"/>
  <c r="E19" i="9"/>
  <c r="E9" i="9"/>
  <c r="E10" i="9"/>
  <c r="E11" i="9"/>
  <c r="E12" i="9"/>
  <c r="E13" i="9"/>
  <c r="E14" i="9"/>
  <c r="E5" i="9"/>
  <c r="E6" i="9"/>
  <c r="E7" i="9"/>
  <c r="E8" i="9"/>
  <c r="D5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F5" i="8"/>
  <c r="H5" i="8" s="1"/>
  <c r="I5" i="8" s="1"/>
  <c r="D5" i="5"/>
  <c r="E8" i="6"/>
  <c r="I8" i="6"/>
  <c r="E9" i="6"/>
  <c r="E29" i="6"/>
  <c r="E30" i="6"/>
  <c r="I29" i="6"/>
  <c r="I30" i="6"/>
  <c r="F6" i="8"/>
  <c r="H6" i="8" s="1"/>
  <c r="I6" i="8" s="1"/>
  <c r="F7" i="8"/>
  <c r="H7" i="8" s="1"/>
  <c r="I7" i="8" s="1"/>
  <c r="F8" i="8"/>
  <c r="H8" i="8" s="1"/>
  <c r="I8" i="8" s="1"/>
  <c r="F9" i="8"/>
  <c r="H9" i="8" s="1"/>
  <c r="I9" i="8" s="1"/>
  <c r="F10" i="8"/>
  <c r="H10" i="8" s="1"/>
  <c r="I10" i="8" s="1"/>
  <c r="F11" i="8"/>
  <c r="H11" i="8" s="1"/>
  <c r="I11" i="8" s="1"/>
  <c r="F12" i="8"/>
  <c r="H12" i="8" s="1"/>
  <c r="I12" i="8" s="1"/>
  <c r="F13" i="8"/>
  <c r="H13" i="8" s="1"/>
  <c r="I13" i="8" s="1"/>
  <c r="F14" i="8"/>
  <c r="H14" i="8" s="1"/>
  <c r="I14" i="8" s="1"/>
  <c r="F15" i="8"/>
  <c r="H15" i="8" s="1"/>
  <c r="I15" i="8" s="1"/>
  <c r="F16" i="8"/>
  <c r="H16" i="8" s="1"/>
  <c r="I16" i="8" s="1"/>
  <c r="F17" i="8"/>
  <c r="H17" i="8" s="1"/>
  <c r="I17" i="8" s="1"/>
  <c r="F18" i="8"/>
  <c r="H18" i="8" s="1"/>
  <c r="I18" i="8" s="1"/>
  <c r="F19" i="8"/>
  <c r="H19" i="8" s="1"/>
  <c r="I19" i="8" s="1"/>
  <c r="F20" i="8"/>
  <c r="H20" i="8" s="1"/>
  <c r="I20" i="8" s="1"/>
  <c r="F21" i="8"/>
  <c r="H21" i="8" s="1"/>
  <c r="I21" i="8" s="1"/>
  <c r="F22" i="8"/>
  <c r="H22" i="8" s="1"/>
  <c r="I22" i="8" s="1"/>
  <c r="F23" i="8"/>
  <c r="H23" i="8" s="1"/>
  <c r="I23" i="8" s="1"/>
  <c r="F24" i="8"/>
  <c r="H24" i="8" s="1"/>
  <c r="I24" i="8" s="1"/>
  <c r="F25" i="8"/>
  <c r="H25" i="8" s="1"/>
  <c r="I25" i="8" s="1"/>
  <c r="F26" i="8"/>
  <c r="H26" i="8" s="1"/>
  <c r="I26" i="8" s="1"/>
  <c r="F27" i="8"/>
  <c r="H27" i="8" s="1"/>
  <c r="I27" i="8" s="1"/>
  <c r="F28" i="8"/>
  <c r="H28" i="8" s="1"/>
  <c r="I28" i="8" s="1"/>
  <c r="E10" i="7"/>
  <c r="E18" i="4" s="1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5" i="6"/>
  <c r="I6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5" i="6"/>
  <c r="E6" i="6"/>
  <c r="G48" i="5" l="1"/>
  <c r="D30" i="3"/>
  <c r="D29" i="3" s="1"/>
  <c r="G51" i="5"/>
  <c r="G49" i="5"/>
  <c r="G54" i="5"/>
  <c r="G52" i="5"/>
  <c r="M5" i="13"/>
  <c r="N5" i="13" s="1"/>
  <c r="M8" i="13"/>
  <c r="M15" i="13"/>
  <c r="N15" i="13" s="1"/>
  <c r="M22" i="13"/>
  <c r="N22" i="13" s="1"/>
  <c r="M12" i="13"/>
  <c r="N12" i="13" s="1"/>
  <c r="L13" i="10"/>
  <c r="M13" i="10" s="1"/>
  <c r="L22" i="10"/>
  <c r="M23" i="10" s="1"/>
  <c r="L5" i="11"/>
  <c r="M29" i="13"/>
  <c r="L15" i="10"/>
  <c r="L10" i="11"/>
  <c r="L6" i="10"/>
  <c r="M11" i="13"/>
  <c r="N11" i="13" s="1"/>
  <c r="M23" i="13"/>
  <c r="N23" i="13" s="1"/>
  <c r="L18" i="10"/>
  <c r="L21" i="10"/>
  <c r="L11" i="10"/>
  <c r="L25" i="10"/>
  <c r="L29" i="10"/>
  <c r="L11" i="11"/>
  <c r="L21" i="11"/>
  <c r="M7" i="13"/>
  <c r="N7" i="13" s="1"/>
  <c r="L11" i="12"/>
  <c r="M11" i="12" s="1"/>
  <c r="M20" i="13"/>
  <c r="N20" i="13" s="1"/>
  <c r="L8" i="12"/>
  <c r="L15" i="12"/>
  <c r="L28" i="12"/>
  <c r="L8" i="11"/>
  <c r="L15" i="11"/>
  <c r="L22" i="11"/>
  <c r="M22" i="11" s="1"/>
  <c r="L29" i="11"/>
  <c r="L12" i="12"/>
  <c r="L21" i="12"/>
  <c r="L9" i="10"/>
  <c r="L12" i="10"/>
  <c r="L27" i="10"/>
  <c r="M10" i="13"/>
  <c r="M28" i="13"/>
  <c r="L5" i="10"/>
  <c r="M18" i="13"/>
  <c r="N18" i="13" s="1"/>
  <c r="M25" i="13"/>
  <c r="N25" i="13" s="1"/>
  <c r="L7" i="10"/>
  <c r="M7" i="10" s="1"/>
  <c r="L23" i="10"/>
  <c r="L13" i="11"/>
  <c r="L16" i="11"/>
  <c r="L27" i="11"/>
  <c r="L13" i="12"/>
  <c r="L19" i="12"/>
  <c r="M14" i="13"/>
  <c r="M19" i="13"/>
  <c r="N19" i="13" s="1"/>
  <c r="M26" i="13"/>
  <c r="N26" i="13" s="1"/>
  <c r="L8" i="10"/>
  <c r="L24" i="10"/>
  <c r="L17" i="11"/>
  <c r="M17" i="11" s="1"/>
  <c r="L24" i="11"/>
  <c r="L6" i="12"/>
  <c r="L7" i="12"/>
  <c r="L17" i="12"/>
  <c r="L27" i="12"/>
  <c r="L7" i="11"/>
  <c r="L14" i="11"/>
  <c r="L28" i="11"/>
  <c r="L10" i="9"/>
  <c r="L19" i="9"/>
  <c r="L8" i="9"/>
  <c r="M6" i="13"/>
  <c r="N6" i="13" s="1"/>
  <c r="M9" i="13"/>
  <c r="N9" i="13" s="1"/>
  <c r="M16" i="13"/>
  <c r="M27" i="13"/>
  <c r="M33" i="10"/>
  <c r="L16" i="10"/>
  <c r="L17" i="10"/>
  <c r="L26" i="10"/>
  <c r="M26" i="10" s="1"/>
  <c r="L18" i="11"/>
  <c r="M18" i="11" s="1"/>
  <c r="L25" i="11"/>
  <c r="L14" i="12"/>
  <c r="L24" i="12"/>
  <c r="M17" i="13"/>
  <c r="M24" i="13"/>
  <c r="L19" i="10"/>
  <c r="M33" i="11"/>
  <c r="L12" i="11"/>
  <c r="L19" i="11"/>
  <c r="L26" i="11"/>
  <c r="M26" i="11" s="1"/>
  <c r="L18" i="12"/>
  <c r="M18" i="12" s="1"/>
  <c r="L25" i="12"/>
  <c r="M25" i="12" s="1"/>
  <c r="L14" i="9"/>
  <c r="N33" i="13"/>
  <c r="M13" i="13"/>
  <c r="N13" i="13" s="1"/>
  <c r="M21" i="13"/>
  <c r="L14" i="10"/>
  <c r="M14" i="10" s="1"/>
  <c r="L9" i="11"/>
  <c r="M9" i="11" s="1"/>
  <c r="L23" i="11"/>
  <c r="L5" i="12"/>
  <c r="L9" i="12"/>
  <c r="L16" i="12"/>
  <c r="L22" i="12"/>
  <c r="M22" i="12" s="1"/>
  <c r="L6" i="11"/>
  <c r="M33" i="12"/>
  <c r="L26" i="12"/>
  <c r="L29" i="12"/>
  <c r="L20" i="10"/>
  <c r="L10" i="10"/>
  <c r="L28" i="10"/>
  <c r="L20" i="11"/>
  <c r="L10" i="12"/>
  <c r="L23" i="12"/>
  <c r="L20" i="12"/>
  <c r="L17" i="9"/>
  <c r="L16" i="9"/>
  <c r="L6" i="9"/>
  <c r="L11" i="9"/>
  <c r="M23" i="9"/>
  <c r="L13" i="9"/>
  <c r="L5" i="9"/>
  <c r="M5" i="9" s="1"/>
  <c r="L12" i="9"/>
  <c r="L9" i="9"/>
  <c r="L18" i="9"/>
  <c r="L15" i="9"/>
  <c r="G32" i="2"/>
  <c r="I33" i="6"/>
  <c r="E12" i="4" s="1"/>
  <c r="M10" i="11" l="1"/>
  <c r="M6" i="9"/>
  <c r="N17" i="13"/>
  <c r="N10" i="13"/>
  <c r="M13" i="11"/>
  <c r="M7" i="11"/>
  <c r="M10" i="12"/>
  <c r="M26" i="12"/>
  <c r="M14" i="12"/>
  <c r="M8" i="12"/>
  <c r="M25" i="11"/>
  <c r="M7" i="12"/>
  <c r="M6" i="12"/>
  <c r="M8" i="10"/>
  <c r="M19" i="10"/>
  <c r="M24" i="10"/>
  <c r="M25" i="10"/>
  <c r="M17" i="10"/>
  <c r="M19" i="9"/>
  <c r="M14" i="9"/>
  <c r="M8" i="9"/>
  <c r="H47" i="5"/>
  <c r="M13" i="12"/>
  <c r="M24" i="11"/>
  <c r="M21" i="12"/>
  <c r="M17" i="12"/>
  <c r="M6" i="10"/>
  <c r="M16" i="10"/>
  <c r="M12" i="11"/>
  <c r="M9" i="12"/>
  <c r="M21" i="11"/>
  <c r="N29" i="13"/>
  <c r="M29" i="10"/>
  <c r="N8" i="13"/>
  <c r="M12" i="10"/>
  <c r="N24" i="13"/>
  <c r="M8" i="11"/>
  <c r="M29" i="12"/>
  <c r="N14" i="13"/>
  <c r="M21" i="10"/>
  <c r="N16" i="13"/>
  <c r="M16" i="11"/>
  <c r="M32" i="12"/>
  <c r="D13" i="3" s="1"/>
  <c r="M29" i="11"/>
  <c r="M32" i="11"/>
  <c r="D12" i="3" s="1"/>
  <c r="D33" i="3"/>
  <c r="N21" i="13"/>
  <c r="M24" i="12"/>
  <c r="M32" i="10"/>
  <c r="D11" i="3" s="1"/>
  <c r="N32" i="13"/>
  <c r="D14" i="3" s="1"/>
  <c r="M22" i="9"/>
  <c r="G6" i="2"/>
  <c r="G31" i="2" s="1"/>
  <c r="D53" i="3" l="1"/>
  <c r="D54" i="3"/>
  <c r="E13" i="4"/>
  <c r="E11" i="4" s="1"/>
  <c r="G33" i="2"/>
  <c r="D56" i="3"/>
  <c r="E6" i="4"/>
  <c r="D52" i="3"/>
  <c r="D55" i="3"/>
  <c r="D10" i="3"/>
  <c r="D18" i="3" s="1"/>
  <c r="E5" i="4" s="1"/>
  <c r="D38" i="3"/>
  <c r="D31" i="3"/>
  <c r="E4" i="4" l="1"/>
  <c r="E8" i="4" s="1"/>
  <c r="E9" i="4" s="1"/>
  <c r="E16" i="4" s="1"/>
  <c r="E22" i="4" s="1"/>
  <c r="E24" i="4" s="1"/>
  <c r="E26" i="4" s="1"/>
  <c r="D3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tc={55EA58CA-E942-4CD6-9E0B-090BC641E4C9}</author>
    <author>tc={67D6EDA7-50F1-425C-BDD5-B2B40CC3DD45}</author>
    <author>tc={DF4BE7C9-74B8-419A-A157-6942240D40AD}</author>
    <author>tc={CE256954-C7F0-45C4-8F4D-C47A48C0C552}</author>
  </authors>
  <commentList>
    <comment ref="C11" authorId="0" shapeId="0" xr:uid="{55EA58CA-E942-4CD6-9E0B-090BC641E4C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"Observação"</t>
      </text>
    </comment>
    <comment ref="C19" authorId="1" shapeId="0" xr:uid="{67D6EDA7-50F1-425C-BDD5-B2B40CC3DD4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"Observação"</t>
      </text>
    </comment>
    <comment ref="C27" authorId="2" shapeId="0" xr:uid="{DF4BE7C9-74B8-419A-A157-6942240D40A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"Observação"</t>
      </text>
    </comment>
    <comment ref="B29" authorId="3" shapeId="0" xr:uid="{CE256954-C7F0-45C4-8F4D-C47A48C0C55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da despesa na coluna "Observação"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tc={73EDAACB-A337-4D1D-8E3E-FFFFBB6FC479}</author>
    <author>tc={70242A27-309B-4CD7-A515-BFF6C6192B8F}</author>
  </authors>
  <commentList>
    <comment ref="B6" authorId="0" shapeId="0" xr:uid="{73EDAACB-A337-4D1D-8E3E-FFFFBB6FC47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Exemplos: carrinhos, balanças, cortadores e maquinários, geladeiras, etc.</t>
      </text>
    </comment>
    <comment ref="B7" authorId="1" shapeId="0" xr:uid="{70242A27-309B-4CD7-A515-BFF6C6192B8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Exemplos: estantes, prateleiras, pintura,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tc={2D6C17EF-EC06-4B95-9080-8955ADC4A240}</author>
    <author>tc={18665474-1F35-41E1-8B2D-70B50D8AAD75}</author>
  </authors>
  <commentList>
    <comment ref="C8" authorId="0" shapeId="0" xr:uid="{2D6C17EF-EC06-4B95-9080-8955ADC4A24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de 10%</t>
      </text>
    </comment>
    <comment ref="C24" authorId="1" shapeId="0" xr:uid="{18665474-1F35-41E1-8B2D-70B50D8AAD7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de 20%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tc={5C7E9B86-452C-4CB4-A79B-A1E48ED1CF5E}</author>
  </authors>
  <commentList>
    <comment ref="D2" authorId="0" shapeId="0" xr:uid="{5C7E9B86-452C-4CB4-A79B-A1E48ED1CF5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Tem mais uma tabela e gráfico abaixo, deixei um espaço caso a primeira tabela aumente. O mesmo para as análises das outras semanas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<sst xmlns="http://schemas.openxmlformats.org/spreadsheetml/2006/main" count="901" uniqueCount="221">
  <si>
    <t>Introdução ao Projeto – Atacarejo</t>
  </si>
  <si>
    <t>Autor: Pedro Evaristo de Oliveira</t>
  </si>
  <si>
    <t>Objetivo:</t>
  </si>
  <si>
    <t>Este projeto tem como objetivo simular a operação de um atacarejo, ou seja, um modelo de negócio que combina características do atacado (venda em grandes quantidades para revendedores e empresas) e do varejo (venda direta ao consumidor final).</t>
  </si>
  <si>
    <t>Descrição:</t>
  </si>
  <si>
    <t>A planilha foi estruturada para acompanhar os principais aspectos da operação:</t>
  </si>
  <si>
    <t>Estoque: controle de entrada e saída de produtos.</t>
  </si>
  <si>
    <t>Resultados: análise do lucro ou prejuízo obtido no período, considerando vendas e despesas.</t>
  </si>
  <si>
    <t>Investimentos: total de investimento próprio em diferentes áreas do atacarejo naquele mês.</t>
  </si>
  <si>
    <t>Despesas: acompanhamento dos custos fixos e variáveis do negócio.</t>
  </si>
  <si>
    <t>Compra de mercadorias: registro das aquisições feitas junto a fornecedores, incluindo quantidade, valor e data da compra.</t>
  </si>
  <si>
    <t>Vendas do mês: resumo e análise do faturamento de vendas e quantidade total vendida nas semanas</t>
  </si>
  <si>
    <t xml:space="preserve">Vendas da semana: análise detalhada de cada semana do mês e registro da quantidade vendida, produto, cliente, etc. </t>
  </si>
  <si>
    <t>Funcionalidades:</t>
  </si>
  <si>
    <t>Todas as abas da planilha contam com botões de navegação que facilitam o acesso entre as diferentes seções. Nas abas de Compras e Vendas, é possível interagir diretamente com as tabelas para incluir novos registros, adicionar produtos ou excluir entradas existentes. Já nas abas de Análise de Vendas Semanais, o usuário pode explorar tabelas, gráficos dinâmicos e segmentações de dados, o que permite filtrar informações e analisar períodos específicos de maneira prática e visual.</t>
  </si>
  <si>
    <t>Observações:</t>
  </si>
  <si>
    <t>É possível encontrar comentários nas diferentes abas, com informações extras e observações.</t>
  </si>
  <si>
    <t>Este projeto foi inspirado no "Projeto 80/20" do curso "Do Básico ao Avançado - O Curso Completo de Microsoft Excel". A maior parte da estrutura e conceitos foram retirados dessa fonte, com algumas adaptações e conteúdos adicionais inseridos por mim.</t>
  </si>
  <si>
    <t>Conclusão:</t>
  </si>
  <si>
    <t>Com isso, a planilha serve como uma ferramenta de apoio para visualizar o desempenho do atacarejo e compreender a dinâmica entre vendas em grande escala e vendas diretas ao consumidor. Além disso, a partir das tabelas e gráficos de análise de vendas e resultados, gerados com base nos dados obtidos, é possível identificar oportunidades e gerar insights para a melhoria do negócio.</t>
  </si>
  <si>
    <t>Despesas do Mês</t>
  </si>
  <si>
    <t>Despesas de Funcionamento</t>
  </si>
  <si>
    <t>Itens Despesas</t>
  </si>
  <si>
    <t>Data</t>
  </si>
  <si>
    <t>Observação</t>
  </si>
  <si>
    <t>Valor Intermediário</t>
  </si>
  <si>
    <t>Valor Final</t>
  </si>
  <si>
    <t>Aluguel Loja</t>
  </si>
  <si>
    <t>Funcionários</t>
  </si>
  <si>
    <t>Salários</t>
  </si>
  <si>
    <t>Bonificações</t>
  </si>
  <si>
    <t>Impostos</t>
  </si>
  <si>
    <t>~35% dos salários</t>
  </si>
  <si>
    <t>Vales (Refeição, Transporte)</t>
  </si>
  <si>
    <t>Outros</t>
  </si>
  <si>
    <t>Provisão Férias</t>
  </si>
  <si>
    <t>Manutenção de Equipamentos</t>
  </si>
  <si>
    <t>Simples Nacional (ex.)</t>
  </si>
  <si>
    <t>Despesas Funcionamento</t>
  </si>
  <si>
    <t>Água</t>
  </si>
  <si>
    <t>Energia</t>
  </si>
  <si>
    <t>Gás</t>
  </si>
  <si>
    <t>Telefone</t>
  </si>
  <si>
    <t>Material de escritório, etc.</t>
  </si>
  <si>
    <t>Limpeza</t>
  </si>
  <si>
    <t>Serviços Terceirizados</t>
  </si>
  <si>
    <t>Escritório Contábil</t>
  </si>
  <si>
    <t>Assessoria mensal</t>
  </si>
  <si>
    <t>Escritório Advocacia</t>
  </si>
  <si>
    <t>Entregas</t>
  </si>
  <si>
    <t>Marketing</t>
  </si>
  <si>
    <t>Mídia social, panfletos</t>
  </si>
  <si>
    <t>Informática</t>
  </si>
  <si>
    <t>Suporte e licenças</t>
  </si>
  <si>
    <t>Despesas não categorizadas</t>
  </si>
  <si>
    <t>Seguros</t>
  </si>
  <si>
    <t>Imprevistos</t>
  </si>
  <si>
    <t>Total de Despesas Funcionamento</t>
  </si>
  <si>
    <t>Total de Compra de Mercadorias</t>
  </si>
  <si>
    <t>Total de Despesas</t>
  </si>
  <si>
    <t>Compras de Mercadorias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</si>
  <si>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</si>
  <si>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</si>
  <si>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</si>
  <si>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</si>
  <si>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</si>
  <si>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</si>
  <si>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</si>
  <si>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Fornecedor de Verduras</t>
  </si>
  <si>
    <t>Tomate</t>
  </si>
  <si>
    <t>Vagem</t>
  </si>
  <si>
    <t>Fornecedor de Carne</t>
  </si>
  <si>
    <t>Carne</t>
  </si>
  <si>
    <t>Fornecedor de Bebidas</t>
  </si>
  <si>
    <t>Cerveja</t>
  </si>
  <si>
    <t>Alface</t>
  </si>
  <si>
    <t>Fornecedor de Grãos e Sementes</t>
  </si>
  <si>
    <t>Amendoim</t>
  </si>
  <si>
    <t>Arroz</t>
  </si>
  <si>
    <t>Fornecedor de Doces</t>
  </si>
  <si>
    <t>Bala</t>
  </si>
  <si>
    <t>Fornecedor de Snacks</t>
  </si>
  <si>
    <t>Barra de Cereal</t>
  </si>
  <si>
    <t>Fornecedor de Utilidades Domésticas</t>
  </si>
  <si>
    <t>Caixa de Fósforo</t>
  </si>
  <si>
    <t>Cenoura</t>
  </si>
  <si>
    <t>Chocolate</t>
  </si>
  <si>
    <t>Fornecedor de Cigarros</t>
  </si>
  <si>
    <t>Cigarro</t>
  </si>
  <si>
    <t>Couve</t>
  </si>
  <si>
    <t>Feijão</t>
  </si>
  <si>
    <t>Fornecedor de Frango</t>
  </si>
  <si>
    <t>Frango</t>
  </si>
  <si>
    <t>Fornecedor de Legumes</t>
  </si>
  <si>
    <t>Leite</t>
  </si>
  <si>
    <t>Padaria</t>
  </si>
  <si>
    <t>Pão de Forma</t>
  </si>
  <si>
    <t>Fornecedor de Peixe</t>
  </si>
  <si>
    <t>Peixe</t>
  </si>
  <si>
    <t>Fornecedor de Frios</t>
  </si>
  <si>
    <t>Queijo</t>
  </si>
  <si>
    <t>Refrigerante</t>
  </si>
  <si>
    <t>Suco</t>
  </si>
  <si>
    <t>Vinho</t>
  </si>
  <si>
    <t>Vodka</t>
  </si>
  <si>
    <t>Investimentos do Mês</t>
  </si>
  <si>
    <t>Investimento</t>
  </si>
  <si>
    <t>Descrição</t>
  </si>
  <si>
    <t>Valor</t>
  </si>
  <si>
    <t>Computadores, notebooks, impressoras, leitores de código de barras  roteadores e pontos de acesso Wi-Fi.</t>
  </si>
  <si>
    <t>Equipamentos</t>
  </si>
  <si>
    <t>Carrinhos, balanças, cortadores e maquinários, geladeiras.</t>
  </si>
  <si>
    <t>Estrutura</t>
  </si>
  <si>
    <t>Estantes, prateleiras e pintura.</t>
  </si>
  <si>
    <t>Marketing e publicidade, Treinamento e capacitação e Custos operacionais diversos.</t>
  </si>
  <si>
    <t>Total de Investimentos</t>
  </si>
  <si>
    <t>Controle de Estoque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</si>
  <si>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</si>
  <si>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</si>
  <si>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</si>
  <si>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</si>
  <si>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</si>
  <si>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</si>
  <si>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</si>
  <si>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Resultados</t>
  </si>
  <si>
    <t>Total de Receitas</t>
  </si>
  <si>
    <t>Receita de Mercadorias</t>
  </si>
  <si>
    <t>Receita de Taxa de Entregas</t>
  </si>
  <si>
    <t xml:space="preserve"> </t>
  </si>
  <si>
    <t>Impostos Sobre a Receita</t>
  </si>
  <si>
    <t>Receita Líquida</t>
  </si>
  <si>
    <t>Despesas Mercadorias</t>
  </si>
  <si>
    <t>Resultado Bruto</t>
  </si>
  <si>
    <t>Investimentos</t>
  </si>
  <si>
    <t>Depreciação e Amortização</t>
  </si>
  <si>
    <t xml:space="preserve">Resultado Antes Dos Impostos </t>
  </si>
  <si>
    <t>Resultado Líquido</t>
  </si>
  <si>
    <t>Vendas do Mês</t>
  </si>
  <si>
    <t>Agosto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</si>
  <si>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</si>
  <si>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</si>
  <si>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</si>
  <si>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</si>
  <si>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</si>
  <si>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Total de Vendas sem Taxa de Entrega (%)</t>
  </si>
  <si>
    <t>Total de Vendas com Taxa de Entrega (%)</t>
  </si>
  <si>
    <t>Total de Vendas com Taxa de Entrega (R$)</t>
  </si>
  <si>
    <t>Total de Vendas sem Taxa de Entrega (R$)</t>
  </si>
  <si>
    <t>Receita Total de Taxa de Entrega (R$)</t>
  </si>
  <si>
    <t>Ticket Médio</t>
  </si>
  <si>
    <t>Quantidade de Vendas por Região</t>
  </si>
  <si>
    <t>Número de Vendas</t>
  </si>
  <si>
    <t>Loja</t>
  </si>
  <si>
    <t>Centro</t>
  </si>
  <si>
    <t>Zona Norte</t>
  </si>
  <si>
    <t>Zona Oeste</t>
  </si>
  <si>
    <t>Zona Sul</t>
  </si>
  <si>
    <t>Vendas Semana 1</t>
  </si>
  <si>
    <t>ID da Venda</t>
  </si>
  <si>
    <t>Subtotal</t>
  </si>
  <si>
    <t>Entrega</t>
  </si>
  <si>
    <t>Taxa de Entrega</t>
  </si>
  <si>
    <t>Total</t>
  </si>
  <si>
    <t>Total para o Cliente</t>
  </si>
  <si>
    <t>Receita de Vendas na Semana</t>
  </si>
  <si>
    <t>Receita de Entregas</t>
  </si>
  <si>
    <t>*Obs.</t>
  </si>
  <si>
    <t>Data da Venda</t>
  </si>
  <si>
    <t>Soma de Quantidade</t>
  </si>
  <si>
    <t>Soma de Total</t>
  </si>
  <si>
    <t>Total Geral</t>
  </si>
  <si>
    <t>Região de Entrega</t>
  </si>
  <si>
    <t>Soma de Taxa de Entrega</t>
  </si>
  <si>
    <t>Vendas Semana 2</t>
  </si>
  <si>
    <t>Rótulos de Linha</t>
  </si>
  <si>
    <t>Vendas Semana 3</t>
  </si>
  <si>
    <t>Vendas Semana 4</t>
  </si>
  <si>
    <t>Vendas Semana 5</t>
  </si>
  <si>
    <t>Produtos</t>
  </si>
  <si>
    <t>Preço de Compra Unitário</t>
  </si>
  <si>
    <t>Preço de Venda Unitário</t>
  </si>
  <si>
    <t>Função ÍNDICE</t>
  </si>
  <si>
    <t>Juntando Índice e Corresp</t>
  </si>
  <si>
    <t>Unidade</t>
  </si>
  <si>
    <t>Pacote</t>
  </si>
  <si>
    <t>Função CORRESP</t>
  </si>
  <si>
    <t>*Substitui PROCV</t>
  </si>
  <si>
    <t>Kg</t>
  </si>
  <si>
    <t>Matriz linha</t>
  </si>
  <si>
    <t>Retorna a coluna correspondente ao valor procurado</t>
  </si>
  <si>
    <t>Usado na coluna data da ultima compra da planilha de estoque</t>
  </si>
  <si>
    <t>ou</t>
  </si>
  <si>
    <t>tipo de corresp 0</t>
  </si>
  <si>
    <t>Matriz coluna</t>
  </si>
  <si>
    <t>Retorna a linha correspondente ao valor procurado</t>
  </si>
  <si>
    <t>Lata</t>
  </si>
  <si>
    <t>Barra</t>
  </si>
  <si>
    <t>Maço</t>
  </si>
  <si>
    <t>conta os valores menores que o valor procurado na matriz</t>
  </si>
  <si>
    <t>tipo de corresp -1 ou +1</t>
  </si>
  <si>
    <t>Litro</t>
  </si>
  <si>
    <t>outras fórmulas usadas</t>
  </si>
  <si>
    <t>SOMASE</t>
  </si>
  <si>
    <t>PROCV</t>
  </si>
  <si>
    <t>SEERRO</t>
  </si>
  <si>
    <t xml:space="preserve">SE </t>
  </si>
  <si>
    <t>Frequencia</t>
  </si>
  <si>
    <t>Garrafa</t>
  </si>
  <si>
    <t>CONTSE</t>
  </si>
  <si>
    <t>Preço de Entrega</t>
  </si>
  <si>
    <t>Funçao Frequência</t>
  </si>
  <si>
    <t>digitando 2 na matriz bin menor que o maior número da matriz(3)</t>
  </si>
  <si>
    <t>matriz bin</t>
  </si>
  <si>
    <t>freq do 3</t>
  </si>
  <si>
    <t>menor ou igual a 2</t>
  </si>
  <si>
    <t>matriz bin intervalo selecionado menor que o intervalo de dados</t>
  </si>
  <si>
    <t>menor ou igual a 1</t>
  </si>
  <si>
    <t>freq do 2</t>
  </si>
  <si>
    <t>formula final contar o número de valores númericos unicos em um conjunto de dados</t>
  </si>
  <si>
    <t xml:space="preserve">Instruções para o usuário desbloquear as macros                                                                                                                                                                                                     Para que os botões de macro funcionem, a pessoa que baixar o arquivo precisa seguir estes passos simples:                                                                               1. Encontrar o arquivo: Vá para a pasta onde o arquivo .xlsm foi baixado.                                                                                     2. Clicar com o botão direito: Clique com o botão direito do mouse no arquivo e selecione "Propriedades".                                                     3. Desbloquear: Na parte inferior da janela de propriedades, na aba "Geral", haverá uma opção chamada "Desbloquear". Basta marcar essa caixa e clicar em "OK".                                                                                                             </t>
  </si>
  <si>
    <t>IMPORTANTE: DESBLOQUEAR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</si>
</sst>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8"/>
      <color theme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9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8"/>
      <color rgb="FFFF0000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/>
      <diagonal/>
    </border>
    <border>
      <left/>
      <right/>
      <top/>
      <bottom style="thick">
        <color theme="9"/>
      </bottom>
      <diagonal/>
    </border>
    <border>
      <left style="thick">
        <color theme="9"/>
      </left>
      <right/>
      <top style="thick">
        <color theme="9"/>
      </top>
      <bottom/>
      <diagonal/>
    </border>
    <border>
      <left/>
      <right/>
      <top style="thick">
        <color theme="9"/>
      </top>
      <bottom/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/>
      <top/>
      <bottom/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8" fillId="0" borderId="0" applyNumberFormat="0" applyFill="0" applyBorder="0" applyAlignment="0" applyProtection="0"/>
  </cellStyleXfs>
  <cellXfs count="121">
    <xf numFmtId="0" fontId="0" fillId="0" borderId="0" xfId="0"/>
    <xf numFmtId="0" fontId="0" fillId="2" borderId="0" xfId="0" applyFill="1"/>
    <xf numFmtId="0" fontId="4" fillId="2" borderId="0" xfId="0" applyFont="1" applyFill="1"/>
    <xf numFmtId="0" fontId="5" fillId="2" borderId="0" xfId="0" applyFont="1" applyFill="1" applyAlignment="1">
      <alignment horizontal="left" vertical="center"/>
    </xf>
    <xf numFmtId="44" fontId="0" fillId="0" borderId="0" xfId="1" applyFont="1"/>
    <xf numFmtId="9" fontId="0" fillId="0" borderId="0" xfId="2" applyFont="1"/>
    <xf numFmtId="14" fontId="0" fillId="0" borderId="0" xfId="0" applyNumberFormat="1"/>
    <xf numFmtId="0" fontId="3" fillId="0" borderId="0" xfId="0" applyFont="1"/>
    <xf numFmtId="0" fontId="6" fillId="0" borderId="1" xfId="0" applyFont="1" applyBorder="1"/>
    <xf numFmtId="44" fontId="6" fillId="0" borderId="1" xfId="0" applyNumberFormat="1" applyFont="1" applyBorder="1"/>
    <xf numFmtId="0" fontId="0" fillId="0" borderId="0" xfId="0" applyAlignment="1">
      <alignment wrapText="1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/>
    <xf numFmtId="0" fontId="0" fillId="3" borderId="0" xfId="0" applyFill="1"/>
    <xf numFmtId="0" fontId="2" fillId="0" borderId="0" xfId="0" applyFont="1"/>
    <xf numFmtId="0" fontId="2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wrapText="1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/>
    <xf numFmtId="0" fontId="0" fillId="4" borderId="0" xfId="0" applyFill="1"/>
    <xf numFmtId="0" fontId="0" fillId="0" borderId="10" xfId="0" applyBorder="1"/>
    <xf numFmtId="44" fontId="6" fillId="0" borderId="1" xfId="1" applyFont="1" applyBorder="1"/>
    <xf numFmtId="0" fontId="7" fillId="0" borderId="11" xfId="0" applyFont="1" applyBorder="1"/>
    <xf numFmtId="44" fontId="7" fillId="0" borderId="11" xfId="1" applyFont="1" applyBorder="1"/>
    <xf numFmtId="0" fontId="7" fillId="0" borderId="12" xfId="0" applyFont="1" applyBorder="1"/>
    <xf numFmtId="44" fontId="7" fillId="0" borderId="12" xfId="1" applyFont="1" applyBorder="1"/>
    <xf numFmtId="0" fontId="6" fillId="0" borderId="13" xfId="0" applyFont="1" applyBorder="1"/>
    <xf numFmtId="44" fontId="6" fillId="0" borderId="13" xfId="0" applyNumberFormat="1" applyFont="1" applyBorder="1"/>
    <xf numFmtId="0" fontId="6" fillId="0" borderId="14" xfId="0" applyFont="1" applyBorder="1"/>
    <xf numFmtId="44" fontId="6" fillId="0" borderId="14" xfId="0" applyNumberFormat="1" applyFont="1" applyBorder="1"/>
    <xf numFmtId="0" fontId="6" fillId="0" borderId="15" xfId="0" applyFont="1" applyBorder="1"/>
    <xf numFmtId="44" fontId="6" fillId="0" borderId="15" xfId="0" applyNumberFormat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6" xfId="0" applyBorder="1"/>
    <xf numFmtId="0" fontId="0" fillId="0" borderId="23" xfId="0" applyBorder="1"/>
    <xf numFmtId="0" fontId="10" fillId="0" borderId="11" xfId="0" applyFont="1" applyBorder="1"/>
    <xf numFmtId="44" fontId="10" fillId="0" borderId="11" xfId="0" applyNumberFormat="1" applyFont="1" applyBorder="1"/>
    <xf numFmtId="0" fontId="10" fillId="0" borderId="24" xfId="0" applyFont="1" applyBorder="1"/>
    <xf numFmtId="44" fontId="10" fillId="0" borderId="24" xfId="0" applyNumberFormat="1" applyFont="1" applyBorder="1"/>
    <xf numFmtId="0" fontId="10" fillId="0" borderId="12" xfId="0" applyFont="1" applyBorder="1"/>
    <xf numFmtId="44" fontId="10" fillId="0" borderId="12" xfId="0" applyNumberFormat="1" applyFont="1" applyBorder="1"/>
    <xf numFmtId="0" fontId="11" fillId="0" borderId="0" xfId="0" applyFont="1"/>
    <xf numFmtId="0" fontId="9" fillId="0" borderId="0" xfId="0" applyFont="1"/>
    <xf numFmtId="44" fontId="9" fillId="0" borderId="0" xfId="0" applyNumberFormat="1" applyFont="1"/>
    <xf numFmtId="0" fontId="12" fillId="0" borderId="2" xfId="0" applyFont="1" applyBorder="1"/>
    <xf numFmtId="0" fontId="7" fillId="0" borderId="12" xfId="1" applyNumberFormat="1" applyFont="1" applyBorder="1"/>
    <xf numFmtId="44" fontId="9" fillId="0" borderId="0" xfId="1" applyFont="1"/>
    <xf numFmtId="9" fontId="10" fillId="0" borderId="11" xfId="2" applyFont="1" applyBorder="1"/>
    <xf numFmtId="44" fontId="10" fillId="0" borderId="11" xfId="1" applyFont="1" applyBorder="1"/>
    <xf numFmtId="44" fontId="10" fillId="0" borderId="12" xfId="1" applyFont="1" applyBorder="1"/>
    <xf numFmtId="9" fontId="10" fillId="0" borderId="24" xfId="2" applyFont="1" applyBorder="1"/>
    <xf numFmtId="0" fontId="13" fillId="0" borderId="16" xfId="0" applyFont="1" applyBorder="1" applyAlignment="1">
      <alignment horizontal="right"/>
    </xf>
    <xf numFmtId="0" fontId="14" fillId="4" borderId="0" xfId="0" applyFont="1" applyFill="1" applyAlignment="1">
      <alignment horizontal="left" vertical="center"/>
    </xf>
    <xf numFmtId="0" fontId="15" fillId="0" borderId="8" xfId="0" applyFont="1" applyBorder="1"/>
    <xf numFmtId="44" fontId="15" fillId="0" borderId="8" xfId="1" applyFont="1" applyBorder="1"/>
    <xf numFmtId="0" fontId="15" fillId="0" borderId="0" xfId="0" applyFont="1"/>
    <xf numFmtId="0" fontId="15" fillId="0" borderId="25" xfId="0" applyFont="1" applyBorder="1"/>
    <xf numFmtId="44" fontId="15" fillId="0" borderId="25" xfId="1" applyFont="1" applyBorder="1"/>
    <xf numFmtId="44" fontId="15" fillId="0" borderId="0" xfId="1" applyFont="1"/>
    <xf numFmtId="0" fontId="15" fillId="0" borderId="26" xfId="0" applyFont="1" applyBorder="1"/>
    <xf numFmtId="44" fontId="15" fillId="0" borderId="26" xfId="1" applyFont="1" applyBorder="1"/>
    <xf numFmtId="44" fontId="15" fillId="0" borderId="25" xfId="0" applyNumberFormat="1" applyFont="1" applyBorder="1"/>
    <xf numFmtId="44" fontId="15" fillId="0" borderId="0" xfId="0" applyNumberFormat="1" applyFont="1"/>
    <xf numFmtId="0" fontId="11" fillId="0" borderId="26" xfId="0" applyFont="1" applyBorder="1"/>
    <xf numFmtId="0" fontId="15" fillId="0" borderId="10" xfId="0" applyFont="1" applyBorder="1"/>
    <xf numFmtId="44" fontId="15" fillId="0" borderId="10" xfId="0" applyNumberFormat="1" applyFont="1" applyBorder="1"/>
    <xf numFmtId="44" fontId="15" fillId="0" borderId="10" xfId="1" applyFont="1" applyBorder="1"/>
    <xf numFmtId="0" fontId="16" fillId="0" borderId="0" xfId="0" applyFont="1"/>
    <xf numFmtId="14" fontId="16" fillId="0" borderId="0" xfId="0" applyNumberFormat="1" applyFont="1"/>
    <xf numFmtId="0" fontId="16" fillId="0" borderId="0" xfId="0" applyFont="1" applyAlignment="1">
      <alignment wrapText="1"/>
    </xf>
    <xf numFmtId="44" fontId="16" fillId="0" borderId="0" xfId="1" applyFont="1"/>
    <xf numFmtId="9" fontId="16" fillId="0" borderId="0" xfId="2" applyFont="1"/>
    <xf numFmtId="0" fontId="17" fillId="0" borderId="0" xfId="0" applyFont="1"/>
    <xf numFmtId="14" fontId="17" fillId="0" borderId="0" xfId="0" applyNumberFormat="1" applyFont="1"/>
    <xf numFmtId="44" fontId="17" fillId="0" borderId="0" xfId="1" applyFont="1"/>
    <xf numFmtId="9" fontId="17" fillId="0" borderId="0" xfId="2" applyFont="1"/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16" fillId="0" borderId="0" xfId="0" pivotButton="1" applyFont="1"/>
    <xf numFmtId="0" fontId="16" fillId="0" borderId="0" xfId="0" applyFont="1" applyAlignment="1">
      <alignment horizontal="left"/>
    </xf>
    <xf numFmtId="44" fontId="16" fillId="0" borderId="0" xfId="0" applyNumberFormat="1" applyFont="1"/>
    <xf numFmtId="14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 indent="1"/>
    </xf>
    <xf numFmtId="0" fontId="18" fillId="0" borderId="0" xfId="0" applyFont="1"/>
    <xf numFmtId="0" fontId="19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5" fillId="0" borderId="0" xfId="0" applyFont="1" applyAlignment="1">
      <alignment vertical="top" wrapText="1"/>
    </xf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15" fillId="0" borderId="0" xfId="0" applyFont="1" applyAlignment="1">
      <alignment vertical="top"/>
    </xf>
    <xf numFmtId="0" fontId="29" fillId="0" borderId="0" xfId="0" applyFont="1"/>
    <xf numFmtId="0" fontId="28" fillId="0" borderId="0" xfId="3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0" fillId="0" borderId="6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 wrapText="1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114">
    <dxf>
      <font>
        <color theme="9"/>
      </font>
      <fill>
        <patternFill>
          <bgColor theme="9" tint="0.79998168889431442"/>
        </patternFill>
      </fill>
    </dxf>
    <dxf>
      <font>
        <color rgb="FFFF3300"/>
      </font>
      <fill>
        <patternFill>
          <bgColor theme="5" tint="0.59996337778862885"/>
        </patternFill>
      </fill>
    </dxf>
    <dxf>
      <font>
        <color theme="1"/>
      </font>
      <fill>
        <patternFill>
          <bgColor theme="7"/>
        </patternFill>
      </fill>
    </dxf>
    <dxf>
      <font>
        <color theme="2" tint="-0.749961851863155"/>
      </font>
      <fill>
        <patternFill>
          <bgColor theme="7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3300"/>
      <color rgb="FFCC9900"/>
      <color rgb="FFFF9900"/>
      <color rgb="FFFFFB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9" Type="http://schemas.microsoft.com/office/2017/10/relationships/person" Target="persons/person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7/relationships/slicerCache" Target="slicerCaches/slicerCache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8.xml"/><Relationship Id="rId37" Type="http://schemas.openxmlformats.org/officeDocument/2006/relationships/sharedStrings" Target="sharedString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microsoft.com/office/2007/relationships/slicerCache" Target="slicerCaches/slicerCache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Resumo Resultados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Resultados!$C$9</c:f>
              <c:strCache>
                <c:ptCount val="1"/>
                <c:pt idx="0">
                  <c:v>Receita Líquida</c:v>
                </c:pt>
              </c:strCache>
            </c:strRef>
          </c:tx>
          <c:spPr>
            <a:solidFill>
              <a:schemeClr val="accent5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Resultados!$D$9:$E$9</c:f>
              <c:numCache>
                <c:formatCode>_("R$"* #,##0.00_);_("R$"* \(#,##0.00\);_("R$"* "-"??_);_(@_)</c:formatCode>
                <c:ptCount val="2"/>
                <c:pt idx="1">
                  <c:v>213668.37719999999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0-4A34-9F56-4F1B88042D03}"/>
            </c:ext>
          </c:extLst>
        </c:ser>
        <c:ser>
          <c:idx val="1"/>
          <c:order val="1"/>
          <c:tx>
            <c:strRef>
              <c:f>Resultados!$C$11</c:f>
              <c:strCache>
                <c:ptCount val="1"/>
                <c:pt idx="0">
                  <c:v>Total de Despesas</c:v>
                </c:pt>
              </c:strCache>
            </c:strRef>
          </c:tx>
          <c:spPr>
            <a:solidFill>
              <a:srgbClr val="FF000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Resultados!$D$11:$E$11</c:f>
              <c:numCache>
                <c:formatCode>_("R$"* #,##0.00_);_("R$"* \(#,##0.00\);_("R$"* "-"??_);_(@_)</c:formatCode>
                <c:ptCount val="2"/>
                <c:pt idx="1">
                  <c:v>155166.29999999999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20-4A34-9F56-4F1B88042D03}"/>
            </c:ext>
          </c:extLst>
        </c:ser>
        <c:ser>
          <c:idx val="2"/>
          <c:order val="2"/>
          <c:tx>
            <c:strRef>
              <c:f>Resultados!$D$12</c:f>
              <c:strCache>
                <c:ptCount val="1"/>
                <c:pt idx="0">
                  <c:v>Despesas Mercadorias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Resultados!$E$12</c:f>
              <c:numCache>
                <c:formatCode>_("R$"* #,##0.00_);_("R$"* \(#,##0.00\);_("R$"* "-"??_);_(@_)</c:formatCode>
                <c:ptCount val="1"/>
                <c:pt idx="0">
                  <c:v>86766.3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20-4A34-9F56-4F1B88042D03}"/>
            </c:ext>
          </c:extLst>
        </c:ser>
        <c:ser>
          <c:idx val="3"/>
          <c:order val="3"/>
          <c:tx>
            <c:strRef>
              <c:f>Resultados!$D$13</c:f>
              <c:strCache>
                <c:ptCount val="1"/>
                <c:pt idx="0">
                  <c:v>Despesas Funcionamento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Resultados!$E$13</c:f>
              <c:numCache>
                <c:formatCode>_("R$"* #,##0.00_);_("R$"* \(#,##0.00\);_("R$"* "-"??_);_(@_)</c:formatCode>
                <c:ptCount val="1"/>
                <c:pt idx="0">
                  <c:v>68400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20-4A34-9F56-4F1B88042D03}"/>
            </c:ext>
          </c:extLst>
        </c:ser>
        <c:ser>
          <c:idx val="4"/>
          <c:order val="4"/>
          <c:tx>
            <c:strRef>
              <c:f>Resultados!$C$26</c:f>
              <c:strCache>
                <c:ptCount val="1"/>
                <c:pt idx="0">
                  <c:v>Resultado Líquido</c:v>
                </c:pt>
              </c:strCache>
            </c:strRef>
          </c:tx>
          <c:spPr>
            <a:solidFill>
              <a:schemeClr val="accent6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Resultados!$D$26:$E$26</c:f>
              <c:numCache>
                <c:formatCode>_("R$"* #,##0.00_);_("R$"* \(#,##0.00\);_("R$"* "-"??_);_(@_)</c:formatCode>
                <c:ptCount val="2"/>
                <c:pt idx="1">
                  <c:v>36241.661760000003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20-4A34-9F56-4F1B88042D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44210912"/>
        <c:axId val="1844220992"/>
      </c:barChart>
      <c:catAx>
        <c:axId val="1844210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0992"/>
        <c:crosses val="autoZero"/>
        <c:auto val="1"/>
        <c:lblAlgn val="ctr"/>
        <c:lblOffset val="100"/>
        <c:noMultiLvlLbl val="0"/>
      </c:catAx>
      <c:valAx>
        <c:axId val="18442209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0"/>
        <c:majorTickMark val="none"/>
        <c:minorTickMark val="none"/>
        <c:tickLblPos val="nextTo"/>
        <c:crossAx val="184421091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'Vendas do Mês'!$C$10:$C$14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'Vendas do Mês'!$D$10:$D$14</c:f>
              <c:numCache>
                <c:formatCode>_("R$"* #,##0.00_);_("R$"* \(#,##0.00\);_("R$"* "-"??_);_(@_)</c:formatCode>
                <c:ptCount val="5"/>
                <c:pt idx="0">
                  <c:v>30971.05</c:v>
                </c:pt>
                <c:pt idx="1">
                  <c:v>63749.7</c:v>
                </c:pt>
                <c:pt idx="2">
                  <c:v>46692.897999999994</c:v>
                </c:pt>
                <c:pt idx="3">
                  <c:v>50955.31</c:v>
                </c:pt>
                <c:pt idx="4">
                  <c:v>45040.35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9E-4622-8E7A-90CD0A641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63766431"/>
        <c:axId val="663769791"/>
      </c:barChart>
      <c:catAx>
        <c:axId val="663766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769791"/>
        <c:crosses val="autoZero"/>
        <c:auto val="1"/>
        <c:lblAlgn val="ctr"/>
        <c:lblOffset val="100"/>
        <c:noMultiLvlLbl val="0"/>
      </c:catAx>
      <c:valAx>
        <c:axId val="66376979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766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354314833629668"/>
          <c:y val="4.6150725560762697E-2"/>
          <c:w val="0.65477587101007539"/>
          <c:h val="0.84812942553083259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'Vendas do Mês'!$C$31:$C$33</c:f>
              <c:strCache>
                <c:ptCount val="3"/>
                <c:pt idx="0">
                  <c:v>Total de Vendas com Taxa de Entrega (R$)</c:v>
                </c:pt>
                <c:pt idx="1">
                  <c:v>Total de Vendas sem Taxa de Entrega (R$)</c:v>
                </c:pt>
                <c:pt idx="2">
                  <c:v>Receita Total de Taxa de Entrega (R$)</c:v>
                </c:pt>
              </c:strCache>
            </c:strRef>
          </c:cat>
          <c:val>
            <c:numRef>
              <c:f>'Vendas do Mês'!$D$31:$D$33</c:f>
              <c:numCache>
                <c:formatCode>_("R$"* #,##0.00_);_("R$"* \(#,##0.00\);_("R$"* "-"??_);_(@_)</c:formatCode>
                <c:ptCount val="3"/>
                <c:pt idx="0">
                  <c:v>230159.92799999999</c:v>
                </c:pt>
                <c:pt idx="1">
                  <c:v>7249.3800000000047</c:v>
                </c:pt>
                <c:pt idx="2">
                  <c:v>4240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B-40F8-A90A-F1E20C773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87057631"/>
        <c:axId val="1487058111"/>
      </c:barChart>
      <c:catAx>
        <c:axId val="14870576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058111"/>
        <c:crosses val="autoZero"/>
        <c:auto val="1"/>
        <c:lblAlgn val="ctr"/>
        <c:lblOffset val="100"/>
        <c:noMultiLvlLbl val="0"/>
      </c:catAx>
      <c:valAx>
        <c:axId val="1487058111"/>
        <c:scaling>
          <c:orientation val="minMax"/>
        </c:scaling>
        <c:delete val="0"/>
        <c:axPos val="b"/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05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91-4435-A53E-AD69AC5B4DF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91-4435-A53E-AD69AC5B4DF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C91-4435-A53E-AD69AC5B4DF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C91-4435-A53E-AD69AC5B4DF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C91-4435-A53E-AD69AC5B4D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'Vendas do Mês'!$C$52:$C$56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'Vendas do Mês'!$D$52:$D$56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0-4E49-B1C1-AF052CFD34C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1!Tabela dinâmica1</c:name>
    <c:fmtId val="14"/>
  </c:pivotSource>
  <c:chart>
    <c:autoTitleDeleted val="0"/>
    <c:pivotFmts>
      <c:pivotFmt>
        <c:idx val="0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'Análise Semana 1'!$D$4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1'!$B$5:$B$23</c:f>
              <c:multiLvlStrCache>
                <c:ptCount val="15"/>
                <c:lvl>
                  <c:pt idx="0">
                    <c:v>Arroz</c:v>
                  </c:pt>
                  <c:pt idx="1">
                    <c:v>Carne</c:v>
                  </c:pt>
                  <c:pt idx="2">
                    <c:v>Leite</c:v>
                  </c:pt>
                  <c:pt idx="3">
                    <c:v>Feijão</c:v>
                  </c:pt>
                  <c:pt idx="4">
                    <c:v>Pão de Forma</c:v>
                  </c:pt>
                  <c:pt idx="5">
                    <c:v>Queijo</c:v>
                  </c:pt>
                  <c:pt idx="6">
                    <c:v>Refrigerante</c:v>
                  </c:pt>
                  <c:pt idx="7">
                    <c:v>Tomate</c:v>
                  </c:pt>
                  <c:pt idx="8">
                    <c:v>Suco</c:v>
                  </c:pt>
                  <c:pt idx="9">
                    <c:v>Frango</c:v>
                  </c:pt>
                  <c:pt idx="10">
                    <c:v>Carne</c:v>
                  </c:pt>
                  <c:pt idx="11">
                    <c:v>Cerveja</c:v>
                  </c:pt>
                  <c:pt idx="12">
                    <c:v>Chocolate</c:v>
                  </c:pt>
                  <c:pt idx="13">
                    <c:v>Vinho</c:v>
                  </c:pt>
                  <c:pt idx="14">
                    <c:v>Couve</c:v>
                  </c:pt>
                </c:lvl>
                <c:lvl>
                  <c:pt idx="0">
                    <c:v>03/08/2025</c:v>
                  </c:pt>
                  <c:pt idx="4">
                    <c:v>02/08/2025</c:v>
                  </c:pt>
                  <c:pt idx="10">
                    <c:v>01/08/2025</c:v>
                  </c:pt>
                </c:lvl>
              </c:multiLvlStrCache>
            </c:multiLvlStrRef>
          </c:cat>
          <c:val>
            <c:numRef>
              <c:f>'Análise Semana 1'!$D$5:$D$23</c:f>
              <c:numCache>
                <c:formatCode>_("R$"* #,##0.00_);_("R$"* \(#,##0.00\);_("R$"* "-"??_);_(@_)</c:formatCode>
                <c:ptCount val="15"/>
                <c:pt idx="0">
                  <c:v>1184.3799999999999</c:v>
                </c:pt>
                <c:pt idx="1">
                  <c:v>5871</c:v>
                </c:pt>
                <c:pt idx="2">
                  <c:v>87.8</c:v>
                </c:pt>
                <c:pt idx="3">
                  <c:v>102</c:v>
                </c:pt>
                <c:pt idx="4">
                  <c:v>504</c:v>
                </c:pt>
                <c:pt idx="5">
                  <c:v>6080</c:v>
                </c:pt>
                <c:pt idx="6">
                  <c:v>689</c:v>
                </c:pt>
                <c:pt idx="7">
                  <c:v>695.52</c:v>
                </c:pt>
                <c:pt idx="8">
                  <c:v>532</c:v>
                </c:pt>
                <c:pt idx="9">
                  <c:v>3160</c:v>
                </c:pt>
                <c:pt idx="10">
                  <c:v>7091.55</c:v>
                </c:pt>
                <c:pt idx="11">
                  <c:v>660</c:v>
                </c:pt>
                <c:pt idx="12">
                  <c:v>695</c:v>
                </c:pt>
                <c:pt idx="13">
                  <c:v>3350</c:v>
                </c:pt>
                <c:pt idx="14">
                  <c:v>268.79999999999995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3C-45F1-8384-F4B10567D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49951535"/>
        <c:axId val="1749952975"/>
      </c:barChart>
      <c:lineChart>
        <c:grouping val="standard"/>
        <c:varyColors val="0"/>
        <c:ser>
          <c:idx val="0"/>
          <c:order val="0"/>
          <c:tx>
            <c:strRef>
              <c:f>'Análise Semana 1'!$C$4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1'!$B$5:$B$23</c:f>
              <c:multiLvlStrCache>
                <c:ptCount val="15"/>
                <c:lvl>
                  <c:pt idx="0">
                    <c:v>Arroz</c:v>
                  </c:pt>
                  <c:pt idx="1">
                    <c:v>Carne</c:v>
                  </c:pt>
                  <c:pt idx="2">
                    <c:v>Leite</c:v>
                  </c:pt>
                  <c:pt idx="3">
                    <c:v>Feijão</c:v>
                  </c:pt>
                  <c:pt idx="4">
                    <c:v>Pão de Forma</c:v>
                  </c:pt>
                  <c:pt idx="5">
                    <c:v>Queijo</c:v>
                  </c:pt>
                  <c:pt idx="6">
                    <c:v>Refrigerante</c:v>
                  </c:pt>
                  <c:pt idx="7">
                    <c:v>Tomate</c:v>
                  </c:pt>
                  <c:pt idx="8">
                    <c:v>Suco</c:v>
                  </c:pt>
                  <c:pt idx="9">
                    <c:v>Frango</c:v>
                  </c:pt>
                  <c:pt idx="10">
                    <c:v>Carne</c:v>
                  </c:pt>
                  <c:pt idx="11">
                    <c:v>Cerveja</c:v>
                  </c:pt>
                  <c:pt idx="12">
                    <c:v>Chocolate</c:v>
                  </c:pt>
                  <c:pt idx="13">
                    <c:v>Vinho</c:v>
                  </c:pt>
                  <c:pt idx="14">
                    <c:v>Couve</c:v>
                  </c:pt>
                </c:lvl>
                <c:lvl>
                  <c:pt idx="0">
                    <c:v>03/08/2025</c:v>
                  </c:pt>
                  <c:pt idx="4">
                    <c:v>02/08/2025</c:v>
                  </c:pt>
                  <c:pt idx="10">
                    <c:v>01/08/2025</c:v>
                  </c:pt>
                </c:lvl>
              </c:multiLvlStrCache>
            </c:multiLvlStrRef>
          </c:cat>
          <c:val>
            <c:numRef>
              <c:f>'Análise Semana 1'!$C$5:$C$23</c:f>
              <c:numCache>
                <c:formatCode>General</c:formatCode>
                <c:ptCount val="15"/>
                <c:pt idx="0">
                  <c:v>220</c:v>
                </c:pt>
                <c:pt idx="1">
                  <c:v>190</c:v>
                </c:pt>
                <c:pt idx="2">
                  <c:v>20</c:v>
                </c:pt>
                <c:pt idx="3">
                  <c:v>15</c:v>
                </c:pt>
                <c:pt idx="4">
                  <c:v>160</c:v>
                </c:pt>
                <c:pt idx="5">
                  <c:v>200</c:v>
                </c:pt>
                <c:pt idx="6">
                  <c:v>260</c:v>
                </c:pt>
                <c:pt idx="7">
                  <c:v>120</c:v>
                </c:pt>
                <c:pt idx="8">
                  <c:v>140</c:v>
                </c:pt>
                <c:pt idx="9">
                  <c:v>300</c:v>
                </c:pt>
                <c:pt idx="10">
                  <c:v>255</c:v>
                </c:pt>
                <c:pt idx="11">
                  <c:v>240</c:v>
                </c:pt>
                <c:pt idx="12">
                  <c:v>100</c:v>
                </c:pt>
                <c:pt idx="13">
                  <c:v>100</c:v>
                </c:pt>
                <c:pt idx="14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C-45F1-8384-F4B10567D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623760"/>
        <c:axId val="1927624240"/>
      </c:lineChart>
      <c:catAx>
        <c:axId val="192762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624240"/>
        <c:crosses val="autoZero"/>
        <c:auto val="1"/>
        <c:lblAlgn val="ctr"/>
        <c:lblOffset val="100"/>
        <c:noMultiLvlLbl val="0"/>
      </c:catAx>
      <c:valAx>
        <c:axId val="19276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623760"/>
        <c:crosses val="autoZero"/>
        <c:crossBetween val="between"/>
      </c:valAx>
      <c:valAx>
        <c:axId val="1749952975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951535"/>
        <c:crosses val="max"/>
        <c:crossBetween val="between"/>
      </c:valAx>
      <c:catAx>
        <c:axId val="17499515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49952975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1!Tabela dinâmica2</c:name>
    <c:fmtId val="9"/>
  </c:pivotSource>
  <c:chart>
    <c:autoTitleDeleted val="0"/>
    <c:pivotFmts>
      <c:pivotFmt>
        <c:idx val="0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33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'Análise Semana 1'!$D$51</c:f>
              <c:strCache>
                <c:ptCount val="1"/>
                <c:pt idx="0">
                  <c:v>Soma de Taxa de Entrega</c:v>
                </c:pt>
              </c:strCache>
            </c:strRef>
          </c:tx>
          <c:spPr>
            <a:solidFill>
              <a:srgbClr val="FF3300"/>
            </a:solidFill>
            <a:ln>
              <a:noFill/>
            </a:ln>
            <a:effectLst/>
          </c:spPr>
          <c:cat>
            <c:multiLvlStrRef>
              <c:f>'Análise Semana 1'!$B$52:$B$71</c:f>
              <c:multiLvlStrCache>
                <c:ptCount val="15"/>
                <c:lvl>
                  <c:pt idx="0">
                    <c:v>Feijão</c:v>
                  </c:pt>
                  <c:pt idx="1">
                    <c:v>Leite</c:v>
                  </c:pt>
                  <c:pt idx="2">
                    <c:v>Pão de Forma</c:v>
                  </c:pt>
                  <c:pt idx="3">
                    <c:v>Queijo</c:v>
                  </c:pt>
                  <c:pt idx="4">
                    <c:v>Refrigerante</c:v>
                  </c:pt>
                  <c:pt idx="5">
                    <c:v>Tomate</c:v>
                  </c:pt>
                  <c:pt idx="6">
                    <c:v>Suco</c:v>
                  </c:pt>
                  <c:pt idx="7">
                    <c:v>Frango</c:v>
                  </c:pt>
                  <c:pt idx="8">
                    <c:v>Carne</c:v>
                  </c:pt>
                  <c:pt idx="9">
                    <c:v>Cerveja</c:v>
                  </c:pt>
                  <c:pt idx="10">
                    <c:v>Vinho</c:v>
                  </c:pt>
                  <c:pt idx="11">
                    <c:v>Couve</c:v>
                  </c:pt>
                  <c:pt idx="12">
                    <c:v>Chocolate</c:v>
                  </c:pt>
                  <c:pt idx="13">
                    <c:v>Arroz</c:v>
                  </c:pt>
                  <c:pt idx="14">
                    <c:v>Carne</c:v>
                  </c:pt>
                </c:lvl>
                <c:lvl>
                  <c:pt idx="0">
                    <c:v>Loja</c:v>
                  </c:pt>
                  <c:pt idx="2">
                    <c:v>Zona Norte</c:v>
                  </c:pt>
                  <c:pt idx="8">
                    <c:v>Zona Sul</c:v>
                  </c:pt>
                  <c:pt idx="13">
                    <c:v>Centro</c:v>
                  </c:pt>
                </c:lvl>
              </c:multiLvlStrCache>
            </c:multiLvlStrRef>
          </c:cat>
          <c:val>
            <c:numRef>
              <c:f>'Análise Semana 1'!$D$52:$D$71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190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150</c:v>
                </c:pt>
                <c:pt idx="13">
                  <c:v>100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C-48FB-A40C-49704EADC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466368"/>
        <c:axId val="1917477408"/>
      </c:areaChart>
      <c:barChart>
        <c:barDir val="col"/>
        <c:grouping val="clustered"/>
        <c:varyColors val="0"/>
        <c:ser>
          <c:idx val="2"/>
          <c:order val="2"/>
          <c:tx>
            <c:strRef>
              <c:f>'Análise Semana 1'!$E$51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1'!$B$52:$B$71</c:f>
              <c:multiLvlStrCache>
                <c:ptCount val="15"/>
                <c:lvl>
                  <c:pt idx="0">
                    <c:v>Feijão</c:v>
                  </c:pt>
                  <c:pt idx="1">
                    <c:v>Leite</c:v>
                  </c:pt>
                  <c:pt idx="2">
                    <c:v>Pão de Forma</c:v>
                  </c:pt>
                  <c:pt idx="3">
                    <c:v>Queijo</c:v>
                  </c:pt>
                  <c:pt idx="4">
                    <c:v>Refrigerante</c:v>
                  </c:pt>
                  <c:pt idx="5">
                    <c:v>Tomate</c:v>
                  </c:pt>
                  <c:pt idx="6">
                    <c:v>Suco</c:v>
                  </c:pt>
                  <c:pt idx="7">
                    <c:v>Frango</c:v>
                  </c:pt>
                  <c:pt idx="8">
                    <c:v>Carne</c:v>
                  </c:pt>
                  <c:pt idx="9">
                    <c:v>Cerveja</c:v>
                  </c:pt>
                  <c:pt idx="10">
                    <c:v>Vinho</c:v>
                  </c:pt>
                  <c:pt idx="11">
                    <c:v>Couve</c:v>
                  </c:pt>
                  <c:pt idx="12">
                    <c:v>Chocolate</c:v>
                  </c:pt>
                  <c:pt idx="13">
                    <c:v>Arroz</c:v>
                  </c:pt>
                  <c:pt idx="14">
                    <c:v>Carne</c:v>
                  </c:pt>
                </c:lvl>
                <c:lvl>
                  <c:pt idx="0">
                    <c:v>Loja</c:v>
                  </c:pt>
                  <c:pt idx="2">
                    <c:v>Zona Norte</c:v>
                  </c:pt>
                  <c:pt idx="8">
                    <c:v>Zona Sul</c:v>
                  </c:pt>
                  <c:pt idx="13">
                    <c:v>Centro</c:v>
                  </c:pt>
                </c:lvl>
              </c:multiLvlStrCache>
            </c:multiLvlStrRef>
          </c:cat>
          <c:val>
            <c:numRef>
              <c:f>'Análise Semana 1'!$E$52:$E$71</c:f>
              <c:numCache>
                <c:formatCode>_("R$"* #,##0.00_);_("R$"* \(#,##0.00\);_("R$"* "-"??_);_(@_)</c:formatCode>
                <c:ptCount val="15"/>
                <c:pt idx="0">
                  <c:v>102</c:v>
                </c:pt>
                <c:pt idx="1">
                  <c:v>87.8</c:v>
                </c:pt>
                <c:pt idx="2">
                  <c:v>504</c:v>
                </c:pt>
                <c:pt idx="3">
                  <c:v>6080</c:v>
                </c:pt>
                <c:pt idx="4">
                  <c:v>689</c:v>
                </c:pt>
                <c:pt idx="5">
                  <c:v>695.52</c:v>
                </c:pt>
                <c:pt idx="6">
                  <c:v>532</c:v>
                </c:pt>
                <c:pt idx="7">
                  <c:v>3160</c:v>
                </c:pt>
                <c:pt idx="8">
                  <c:v>7091.55</c:v>
                </c:pt>
                <c:pt idx="9">
                  <c:v>660</c:v>
                </c:pt>
                <c:pt idx="10">
                  <c:v>3350</c:v>
                </c:pt>
                <c:pt idx="11">
                  <c:v>268.79999999999995</c:v>
                </c:pt>
                <c:pt idx="12">
                  <c:v>695</c:v>
                </c:pt>
                <c:pt idx="13">
                  <c:v>1184.3799999999999</c:v>
                </c:pt>
                <c:pt idx="14">
                  <c:v>5871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C-48FB-A40C-49704EADC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17466368"/>
        <c:axId val="1917477408"/>
      </c:barChart>
      <c:lineChart>
        <c:grouping val="standard"/>
        <c:varyColors val="0"/>
        <c:ser>
          <c:idx val="0"/>
          <c:order val="0"/>
          <c:tx>
            <c:strRef>
              <c:f>'Análise Semana 1'!$C$51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1'!$B$52:$B$71</c:f>
              <c:multiLvlStrCache>
                <c:ptCount val="15"/>
                <c:lvl>
                  <c:pt idx="0">
                    <c:v>Feijão</c:v>
                  </c:pt>
                  <c:pt idx="1">
                    <c:v>Leite</c:v>
                  </c:pt>
                  <c:pt idx="2">
                    <c:v>Pão de Forma</c:v>
                  </c:pt>
                  <c:pt idx="3">
                    <c:v>Queijo</c:v>
                  </c:pt>
                  <c:pt idx="4">
                    <c:v>Refrigerante</c:v>
                  </c:pt>
                  <c:pt idx="5">
                    <c:v>Tomate</c:v>
                  </c:pt>
                  <c:pt idx="6">
                    <c:v>Suco</c:v>
                  </c:pt>
                  <c:pt idx="7">
                    <c:v>Frango</c:v>
                  </c:pt>
                  <c:pt idx="8">
                    <c:v>Carne</c:v>
                  </c:pt>
                  <c:pt idx="9">
                    <c:v>Cerveja</c:v>
                  </c:pt>
                  <c:pt idx="10">
                    <c:v>Vinho</c:v>
                  </c:pt>
                  <c:pt idx="11">
                    <c:v>Couve</c:v>
                  </c:pt>
                  <c:pt idx="12">
                    <c:v>Chocolate</c:v>
                  </c:pt>
                  <c:pt idx="13">
                    <c:v>Arroz</c:v>
                  </c:pt>
                  <c:pt idx="14">
                    <c:v>Carne</c:v>
                  </c:pt>
                </c:lvl>
                <c:lvl>
                  <c:pt idx="0">
                    <c:v>Loja</c:v>
                  </c:pt>
                  <c:pt idx="2">
                    <c:v>Zona Norte</c:v>
                  </c:pt>
                  <c:pt idx="8">
                    <c:v>Zona Sul</c:v>
                  </c:pt>
                  <c:pt idx="13">
                    <c:v>Centro</c:v>
                  </c:pt>
                </c:lvl>
              </c:multiLvlStrCache>
            </c:multiLvlStrRef>
          </c:cat>
          <c:val>
            <c:numRef>
              <c:f>'Análise Semana 1'!$C$52:$C$71</c:f>
              <c:numCache>
                <c:formatCode>General</c:formatCode>
                <c:ptCount val="15"/>
                <c:pt idx="0">
                  <c:v>15</c:v>
                </c:pt>
                <c:pt idx="1">
                  <c:v>20</c:v>
                </c:pt>
                <c:pt idx="2">
                  <c:v>160</c:v>
                </c:pt>
                <c:pt idx="3">
                  <c:v>200</c:v>
                </c:pt>
                <c:pt idx="4">
                  <c:v>260</c:v>
                </c:pt>
                <c:pt idx="5">
                  <c:v>120</c:v>
                </c:pt>
                <c:pt idx="6">
                  <c:v>140</c:v>
                </c:pt>
                <c:pt idx="7">
                  <c:v>300</c:v>
                </c:pt>
                <c:pt idx="8">
                  <c:v>255</c:v>
                </c:pt>
                <c:pt idx="9">
                  <c:v>240</c:v>
                </c:pt>
                <c:pt idx="10">
                  <c:v>100</c:v>
                </c:pt>
                <c:pt idx="11">
                  <c:v>96</c:v>
                </c:pt>
                <c:pt idx="12">
                  <c:v>100</c:v>
                </c:pt>
                <c:pt idx="13">
                  <c:v>220</c:v>
                </c:pt>
                <c:pt idx="1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C-48FB-A40C-49704EADC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211872"/>
        <c:axId val="1844215712"/>
      </c:lineChart>
      <c:catAx>
        <c:axId val="191746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477408"/>
        <c:crosses val="autoZero"/>
        <c:auto val="1"/>
        <c:lblAlgn val="ctr"/>
        <c:lblOffset val="100"/>
        <c:noMultiLvlLbl val="0"/>
      </c:catAx>
      <c:valAx>
        <c:axId val="191747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466368"/>
        <c:crosses val="autoZero"/>
        <c:crossBetween val="between"/>
      </c:valAx>
      <c:valAx>
        <c:axId val="1844215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11872"/>
        <c:crosses val="max"/>
        <c:crossBetween val="between"/>
      </c:valAx>
      <c:catAx>
        <c:axId val="1844211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421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9950418179753"/>
          <c:y val="0.47976492589959535"/>
          <c:w val="0.18387801635717646"/>
          <c:h val="0.173991968084289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2!Tabela dinâmica1</c:name>
    <c:fmtId val="0"/>
  </c:pivotSource>
  <c:chart>
    <c:autoTitleDeleted val="0"/>
    <c:pivotFmts>
      <c:pivotFmt>
        <c:idx val="0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'Análise Semana 2'!$D$4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2'!$B$5:$B$37</c:f>
              <c:multiLvlStrCache>
                <c:ptCount val="25"/>
                <c:lvl>
                  <c:pt idx="0">
                    <c:v>Suco</c:v>
                  </c:pt>
                  <c:pt idx="1">
                    <c:v>Alface</c:v>
                  </c:pt>
                  <c:pt idx="2">
                    <c:v>Queijo</c:v>
                  </c:pt>
                  <c:pt idx="3">
                    <c:v>Chocolate</c:v>
                  </c:pt>
                  <c:pt idx="4">
                    <c:v>Arroz</c:v>
                  </c:pt>
                  <c:pt idx="5">
                    <c:v>Leite</c:v>
                  </c:pt>
                  <c:pt idx="6">
                    <c:v>Peixe</c:v>
                  </c:pt>
                  <c:pt idx="7">
                    <c:v>Carne</c:v>
                  </c:pt>
                  <c:pt idx="8">
                    <c:v>Refrigerante</c:v>
                  </c:pt>
                  <c:pt idx="9">
                    <c:v>Frango</c:v>
                  </c:pt>
                  <c:pt idx="10">
                    <c:v>Peixe</c:v>
                  </c:pt>
                  <c:pt idx="11">
                    <c:v>Tomate</c:v>
                  </c:pt>
                  <c:pt idx="12">
                    <c:v>Arroz</c:v>
                  </c:pt>
                  <c:pt idx="13">
                    <c:v>Pão de Forma</c:v>
                  </c:pt>
                  <c:pt idx="14">
                    <c:v>Frango</c:v>
                  </c:pt>
                  <c:pt idx="15">
                    <c:v>Carne</c:v>
                  </c:pt>
                  <c:pt idx="16">
                    <c:v>Cerveja</c:v>
                  </c:pt>
                  <c:pt idx="17">
                    <c:v>Pão de Forma</c:v>
                  </c:pt>
                  <c:pt idx="18">
                    <c:v>Carne</c:v>
                  </c:pt>
                  <c:pt idx="19">
                    <c:v>Cigarro</c:v>
                  </c:pt>
                  <c:pt idx="20">
                    <c:v>Arroz</c:v>
                  </c:pt>
                  <c:pt idx="21">
                    <c:v>Leite</c:v>
                  </c:pt>
                  <c:pt idx="22">
                    <c:v>Queijo</c:v>
                  </c:pt>
                  <c:pt idx="23">
                    <c:v>Vagem</c:v>
                  </c:pt>
                  <c:pt idx="24">
                    <c:v>Vodka</c:v>
                  </c:pt>
                </c:lvl>
                <c:lvl>
                  <c:pt idx="0">
                    <c:v>10/08/2025</c:v>
                  </c:pt>
                  <c:pt idx="2">
                    <c:v>09/08/2025</c:v>
                  </c:pt>
                  <c:pt idx="4">
                    <c:v>08/08/2025</c:v>
                  </c:pt>
                  <c:pt idx="8">
                    <c:v>07/08/2025</c:v>
                  </c:pt>
                  <c:pt idx="12">
                    <c:v>06/08/2025</c:v>
                  </c:pt>
                  <c:pt idx="17">
                    <c:v>05/08/2025</c:v>
                  </c:pt>
                  <c:pt idx="20">
                    <c:v>04/08/2025</c:v>
                  </c:pt>
                </c:lvl>
              </c:multiLvlStrCache>
            </c:multiLvlStrRef>
          </c:cat>
          <c:val>
            <c:numRef>
              <c:f>'Análise Semana 2'!$D$5:$D$37</c:f>
              <c:numCache>
                <c:formatCode>_("R$"* #,##0.00_);_("R$"* \(#,##0.00\);_("R$"* "-"??_);_(@_)</c:formatCode>
                <c:ptCount val="25"/>
                <c:pt idx="0">
                  <c:v>490.2</c:v>
                </c:pt>
                <c:pt idx="1">
                  <c:v>1225</c:v>
                </c:pt>
                <c:pt idx="2">
                  <c:v>160</c:v>
                </c:pt>
                <c:pt idx="3">
                  <c:v>136.25</c:v>
                </c:pt>
                <c:pt idx="4">
                  <c:v>739.34999999999991</c:v>
                </c:pt>
                <c:pt idx="5">
                  <c:v>1285.55</c:v>
                </c:pt>
                <c:pt idx="6">
                  <c:v>8174</c:v>
                </c:pt>
                <c:pt idx="7">
                  <c:v>4171.5</c:v>
                </c:pt>
                <c:pt idx="8">
                  <c:v>609.5</c:v>
                </c:pt>
                <c:pt idx="9">
                  <c:v>990</c:v>
                </c:pt>
                <c:pt idx="10">
                  <c:v>4443.8499999999995</c:v>
                </c:pt>
                <c:pt idx="11">
                  <c:v>604</c:v>
                </c:pt>
                <c:pt idx="12">
                  <c:v>841.9</c:v>
                </c:pt>
                <c:pt idx="13">
                  <c:v>519.75</c:v>
                </c:pt>
                <c:pt idx="14">
                  <c:v>1900.8</c:v>
                </c:pt>
                <c:pt idx="15">
                  <c:v>7107</c:v>
                </c:pt>
                <c:pt idx="16">
                  <c:v>1179.75</c:v>
                </c:pt>
                <c:pt idx="17">
                  <c:v>945</c:v>
                </c:pt>
                <c:pt idx="18">
                  <c:v>7720.5</c:v>
                </c:pt>
                <c:pt idx="19">
                  <c:v>2840</c:v>
                </c:pt>
                <c:pt idx="20">
                  <c:v>1219</c:v>
                </c:pt>
                <c:pt idx="21">
                  <c:v>1492.6</c:v>
                </c:pt>
                <c:pt idx="22">
                  <c:v>7219.2</c:v>
                </c:pt>
                <c:pt idx="23">
                  <c:v>2415</c:v>
                </c:pt>
                <c:pt idx="24">
                  <c:v>5320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B5-4A82-8125-29A2CDB81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66959648"/>
        <c:axId val="1549027792"/>
      </c:barChart>
      <c:lineChart>
        <c:grouping val="standard"/>
        <c:varyColors val="0"/>
        <c:ser>
          <c:idx val="0"/>
          <c:order val="0"/>
          <c:tx>
            <c:strRef>
              <c:f>'Análise Semana 2'!$C$4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2'!$B$5:$B$37</c:f>
              <c:multiLvlStrCache>
                <c:ptCount val="25"/>
                <c:lvl>
                  <c:pt idx="0">
                    <c:v>Suco</c:v>
                  </c:pt>
                  <c:pt idx="1">
                    <c:v>Alface</c:v>
                  </c:pt>
                  <c:pt idx="2">
                    <c:v>Queijo</c:v>
                  </c:pt>
                  <c:pt idx="3">
                    <c:v>Chocolate</c:v>
                  </c:pt>
                  <c:pt idx="4">
                    <c:v>Arroz</c:v>
                  </c:pt>
                  <c:pt idx="5">
                    <c:v>Leite</c:v>
                  </c:pt>
                  <c:pt idx="6">
                    <c:v>Peixe</c:v>
                  </c:pt>
                  <c:pt idx="7">
                    <c:v>Carne</c:v>
                  </c:pt>
                  <c:pt idx="8">
                    <c:v>Refrigerante</c:v>
                  </c:pt>
                  <c:pt idx="9">
                    <c:v>Frango</c:v>
                  </c:pt>
                  <c:pt idx="10">
                    <c:v>Peixe</c:v>
                  </c:pt>
                  <c:pt idx="11">
                    <c:v>Tomate</c:v>
                  </c:pt>
                  <c:pt idx="12">
                    <c:v>Arroz</c:v>
                  </c:pt>
                  <c:pt idx="13">
                    <c:v>Pão de Forma</c:v>
                  </c:pt>
                  <c:pt idx="14">
                    <c:v>Frango</c:v>
                  </c:pt>
                  <c:pt idx="15">
                    <c:v>Carne</c:v>
                  </c:pt>
                  <c:pt idx="16">
                    <c:v>Cerveja</c:v>
                  </c:pt>
                  <c:pt idx="17">
                    <c:v>Pão de Forma</c:v>
                  </c:pt>
                  <c:pt idx="18">
                    <c:v>Carne</c:v>
                  </c:pt>
                  <c:pt idx="19">
                    <c:v>Cigarro</c:v>
                  </c:pt>
                  <c:pt idx="20">
                    <c:v>Arroz</c:v>
                  </c:pt>
                  <c:pt idx="21">
                    <c:v>Leite</c:v>
                  </c:pt>
                  <c:pt idx="22">
                    <c:v>Queijo</c:v>
                  </c:pt>
                  <c:pt idx="23">
                    <c:v>Vagem</c:v>
                  </c:pt>
                  <c:pt idx="24">
                    <c:v>Vodka</c:v>
                  </c:pt>
                </c:lvl>
                <c:lvl>
                  <c:pt idx="0">
                    <c:v>10/08/2025</c:v>
                  </c:pt>
                  <c:pt idx="2">
                    <c:v>09/08/2025</c:v>
                  </c:pt>
                  <c:pt idx="4">
                    <c:v>08/08/2025</c:v>
                  </c:pt>
                  <c:pt idx="8">
                    <c:v>07/08/2025</c:v>
                  </c:pt>
                  <c:pt idx="12">
                    <c:v>06/08/2025</c:v>
                  </c:pt>
                  <c:pt idx="17">
                    <c:v>05/08/2025</c:v>
                  </c:pt>
                  <c:pt idx="20">
                    <c:v>04/08/2025</c:v>
                  </c:pt>
                </c:lvl>
              </c:multiLvlStrCache>
            </c:multiLvlStrRef>
          </c:cat>
          <c:val>
            <c:numRef>
              <c:f>'Análise Semana 2'!$C$5:$C$37</c:f>
              <c:numCache>
                <c:formatCode>General</c:formatCode>
                <c:ptCount val="25"/>
                <c:pt idx="0">
                  <c:v>150</c:v>
                </c:pt>
                <c:pt idx="1">
                  <c:v>300</c:v>
                </c:pt>
                <c:pt idx="2">
                  <c:v>5</c:v>
                </c:pt>
                <c:pt idx="3">
                  <c:v>25</c:v>
                </c:pt>
                <c:pt idx="4">
                  <c:v>150</c:v>
                </c:pt>
                <c:pt idx="5">
                  <c:v>245</c:v>
                </c:pt>
                <c:pt idx="6">
                  <c:v>268</c:v>
                </c:pt>
                <c:pt idx="7">
                  <c:v>135</c:v>
                </c:pt>
                <c:pt idx="8">
                  <c:v>230</c:v>
                </c:pt>
                <c:pt idx="9">
                  <c:v>100</c:v>
                </c:pt>
                <c:pt idx="10">
                  <c:v>155</c:v>
                </c:pt>
                <c:pt idx="11">
                  <c:v>100</c:v>
                </c:pt>
                <c:pt idx="12">
                  <c:v>123</c:v>
                </c:pt>
                <c:pt idx="13">
                  <c:v>165</c:v>
                </c:pt>
                <c:pt idx="14">
                  <c:v>200</c:v>
                </c:pt>
                <c:pt idx="15">
                  <c:v>230</c:v>
                </c:pt>
                <c:pt idx="16">
                  <c:v>429</c:v>
                </c:pt>
                <c:pt idx="17">
                  <c:v>300</c:v>
                </c:pt>
                <c:pt idx="18">
                  <c:v>250</c:v>
                </c:pt>
                <c:pt idx="19">
                  <c:v>400</c:v>
                </c:pt>
                <c:pt idx="20">
                  <c:v>230</c:v>
                </c:pt>
                <c:pt idx="21">
                  <c:v>340</c:v>
                </c:pt>
                <c:pt idx="22">
                  <c:v>240</c:v>
                </c:pt>
                <c:pt idx="23">
                  <c:v>230</c:v>
                </c:pt>
                <c:pt idx="2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5-4A82-8125-29A2CDB81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9029712"/>
        <c:axId val="1549031632"/>
      </c:lineChart>
      <c:catAx>
        <c:axId val="156695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9027792"/>
        <c:crosses val="autoZero"/>
        <c:auto val="1"/>
        <c:lblAlgn val="ctr"/>
        <c:lblOffset val="100"/>
        <c:noMultiLvlLbl val="0"/>
      </c:catAx>
      <c:valAx>
        <c:axId val="15490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959648"/>
        <c:crosses val="autoZero"/>
        <c:crossBetween val="between"/>
      </c:valAx>
      <c:valAx>
        <c:axId val="15490316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9029712"/>
        <c:crosses val="max"/>
        <c:crossBetween val="between"/>
      </c:valAx>
      <c:catAx>
        <c:axId val="1549029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9031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672355395231071"/>
          <c:y val="0.48103797240894869"/>
          <c:w val="0.13086016334641837"/>
          <c:h val="0.10016303060499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2!Tabela dinâmica2</c:name>
    <c:fmtId val="0"/>
  </c:pivotSource>
  <c:chart>
    <c:autoTitleDeleted val="0"/>
    <c:pivotFmts>
      <c:pivotFmt>
        <c:idx val="0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33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'Análise Semana 2'!$D$61</c:f>
              <c:strCache>
                <c:ptCount val="1"/>
                <c:pt idx="0">
                  <c:v>Soma de Taxa de Entrega</c:v>
                </c:pt>
              </c:strCache>
            </c:strRef>
          </c:tx>
          <c:spPr>
            <a:solidFill>
              <a:srgbClr val="FF3300"/>
            </a:solidFill>
            <a:ln>
              <a:noFill/>
            </a:ln>
            <a:effectLst/>
          </c:spPr>
          <c:cat>
            <c:multiLvlStrRef>
              <c:f>'Análise Semana 2'!$B$62:$B$92</c:f>
              <c:multiLvlStrCache>
                <c:ptCount val="25"/>
                <c:lvl>
                  <c:pt idx="0">
                    <c:v>Queijo</c:v>
                  </c:pt>
                  <c:pt idx="1">
                    <c:v>Chocolate</c:v>
                  </c:pt>
                  <c:pt idx="2">
                    <c:v>Arroz</c:v>
                  </c:pt>
                  <c:pt idx="3">
                    <c:v>Pão de Forma</c:v>
                  </c:pt>
                  <c:pt idx="4">
                    <c:v>Frango</c:v>
                  </c:pt>
                  <c:pt idx="5">
                    <c:v>Suco</c:v>
                  </c:pt>
                  <c:pt idx="6">
                    <c:v>Alface</c:v>
                  </c:pt>
                  <c:pt idx="7">
                    <c:v>Carne</c:v>
                  </c:pt>
                  <c:pt idx="8">
                    <c:v>Cerveja</c:v>
                  </c:pt>
                  <c:pt idx="9">
                    <c:v>Arroz</c:v>
                  </c:pt>
                  <c:pt idx="10">
                    <c:v>Leite</c:v>
                  </c:pt>
                  <c:pt idx="11">
                    <c:v>Peixe</c:v>
                  </c:pt>
                  <c:pt idx="12">
                    <c:v>Carne</c:v>
                  </c:pt>
                  <c:pt idx="13">
                    <c:v>Pão de Forma</c:v>
                  </c:pt>
                  <c:pt idx="14">
                    <c:v>Carne</c:v>
                  </c:pt>
                  <c:pt idx="15">
                    <c:v>Cigarro</c:v>
                  </c:pt>
                  <c:pt idx="16">
                    <c:v>Arroz</c:v>
                  </c:pt>
                  <c:pt idx="17">
                    <c:v>Leite</c:v>
                  </c:pt>
                  <c:pt idx="18">
                    <c:v>Queijo</c:v>
                  </c:pt>
                  <c:pt idx="19">
                    <c:v>Refrigerante</c:v>
                  </c:pt>
                  <c:pt idx="20">
                    <c:v>Frango</c:v>
                  </c:pt>
                  <c:pt idx="21">
                    <c:v>Peixe</c:v>
                  </c:pt>
                  <c:pt idx="22">
                    <c:v>Tomate</c:v>
                  </c:pt>
                  <c:pt idx="23">
                    <c:v>Vagem</c:v>
                  </c:pt>
                  <c:pt idx="24">
                    <c:v>Vodka</c:v>
                  </c:pt>
                </c:lvl>
                <c:lvl>
                  <c:pt idx="0">
                    <c:v>Loja</c:v>
                  </c:pt>
                  <c:pt idx="2">
                    <c:v>Zona Norte</c:v>
                  </c:pt>
                  <c:pt idx="9">
                    <c:v>Zona Oeste</c:v>
                  </c:pt>
                  <c:pt idx="13">
                    <c:v>Zona Sul</c:v>
                  </c:pt>
                  <c:pt idx="16">
                    <c:v>Centro</c:v>
                  </c:pt>
                </c:lvl>
              </c:multiLvlStrCache>
            </c:multiLvlStrRef>
          </c:cat>
          <c:val>
            <c:numRef>
              <c:f>'Análise Semana 2'!$D$62:$D$92</c:f>
              <c:numCache>
                <c:formatCode>_("R$"* #,##0.00_);_("R$"* \(#,##0.00\);_("R$"* "-"??_);_(@_)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190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150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100</c:v>
                </c:pt>
                <c:pt idx="23">
                  <c:v>0</c:v>
                </c:pt>
                <c:pt idx="2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52-458F-8EED-0DA0F2B7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9512096"/>
        <c:axId val="1399513056"/>
      </c:areaChart>
      <c:barChart>
        <c:barDir val="col"/>
        <c:grouping val="clustered"/>
        <c:varyColors val="0"/>
        <c:ser>
          <c:idx val="2"/>
          <c:order val="2"/>
          <c:tx>
            <c:strRef>
              <c:f>'Análise Semana 2'!$E$61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2'!$B$62:$B$92</c:f>
              <c:multiLvlStrCache>
                <c:ptCount val="25"/>
                <c:lvl>
                  <c:pt idx="0">
                    <c:v>Queijo</c:v>
                  </c:pt>
                  <c:pt idx="1">
                    <c:v>Chocolate</c:v>
                  </c:pt>
                  <c:pt idx="2">
                    <c:v>Arroz</c:v>
                  </c:pt>
                  <c:pt idx="3">
                    <c:v>Pão de Forma</c:v>
                  </c:pt>
                  <c:pt idx="4">
                    <c:v>Frango</c:v>
                  </c:pt>
                  <c:pt idx="5">
                    <c:v>Suco</c:v>
                  </c:pt>
                  <c:pt idx="6">
                    <c:v>Alface</c:v>
                  </c:pt>
                  <c:pt idx="7">
                    <c:v>Carne</c:v>
                  </c:pt>
                  <c:pt idx="8">
                    <c:v>Cerveja</c:v>
                  </c:pt>
                  <c:pt idx="9">
                    <c:v>Arroz</c:v>
                  </c:pt>
                  <c:pt idx="10">
                    <c:v>Leite</c:v>
                  </c:pt>
                  <c:pt idx="11">
                    <c:v>Peixe</c:v>
                  </c:pt>
                  <c:pt idx="12">
                    <c:v>Carne</c:v>
                  </c:pt>
                  <c:pt idx="13">
                    <c:v>Pão de Forma</c:v>
                  </c:pt>
                  <c:pt idx="14">
                    <c:v>Carne</c:v>
                  </c:pt>
                  <c:pt idx="15">
                    <c:v>Cigarro</c:v>
                  </c:pt>
                  <c:pt idx="16">
                    <c:v>Arroz</c:v>
                  </c:pt>
                  <c:pt idx="17">
                    <c:v>Leite</c:v>
                  </c:pt>
                  <c:pt idx="18">
                    <c:v>Queijo</c:v>
                  </c:pt>
                  <c:pt idx="19">
                    <c:v>Refrigerante</c:v>
                  </c:pt>
                  <c:pt idx="20">
                    <c:v>Frango</c:v>
                  </c:pt>
                  <c:pt idx="21">
                    <c:v>Peixe</c:v>
                  </c:pt>
                  <c:pt idx="22">
                    <c:v>Tomate</c:v>
                  </c:pt>
                  <c:pt idx="23">
                    <c:v>Vagem</c:v>
                  </c:pt>
                  <c:pt idx="24">
                    <c:v>Vodka</c:v>
                  </c:pt>
                </c:lvl>
                <c:lvl>
                  <c:pt idx="0">
                    <c:v>Loja</c:v>
                  </c:pt>
                  <c:pt idx="2">
                    <c:v>Zona Norte</c:v>
                  </c:pt>
                  <c:pt idx="9">
                    <c:v>Zona Oeste</c:v>
                  </c:pt>
                  <c:pt idx="13">
                    <c:v>Zona Sul</c:v>
                  </c:pt>
                  <c:pt idx="16">
                    <c:v>Centro</c:v>
                  </c:pt>
                </c:lvl>
              </c:multiLvlStrCache>
            </c:multiLvlStrRef>
          </c:cat>
          <c:val>
            <c:numRef>
              <c:f>'Análise Semana 2'!$E$62:$E$92</c:f>
              <c:numCache>
                <c:formatCode>_("R$"* #,##0.00_);_("R$"* \(#,##0.00\);_("R$"* "-"??_);_(@_)</c:formatCode>
                <c:ptCount val="25"/>
                <c:pt idx="0">
                  <c:v>160</c:v>
                </c:pt>
                <c:pt idx="1">
                  <c:v>136.25</c:v>
                </c:pt>
                <c:pt idx="2">
                  <c:v>841.9</c:v>
                </c:pt>
                <c:pt idx="3">
                  <c:v>519.75</c:v>
                </c:pt>
                <c:pt idx="4">
                  <c:v>1900.8</c:v>
                </c:pt>
                <c:pt idx="5">
                  <c:v>490.2</c:v>
                </c:pt>
                <c:pt idx="6">
                  <c:v>1225</c:v>
                </c:pt>
                <c:pt idx="7">
                  <c:v>7107</c:v>
                </c:pt>
                <c:pt idx="8">
                  <c:v>1179.75</c:v>
                </c:pt>
                <c:pt idx="9">
                  <c:v>739.34999999999991</c:v>
                </c:pt>
                <c:pt idx="10">
                  <c:v>1285.55</c:v>
                </c:pt>
                <c:pt idx="11">
                  <c:v>8174</c:v>
                </c:pt>
                <c:pt idx="12">
                  <c:v>4171.5</c:v>
                </c:pt>
                <c:pt idx="13">
                  <c:v>945</c:v>
                </c:pt>
                <c:pt idx="14">
                  <c:v>7720.5</c:v>
                </c:pt>
                <c:pt idx="15">
                  <c:v>2840</c:v>
                </c:pt>
                <c:pt idx="16">
                  <c:v>1219</c:v>
                </c:pt>
                <c:pt idx="17">
                  <c:v>1492.6</c:v>
                </c:pt>
                <c:pt idx="18">
                  <c:v>7219.2</c:v>
                </c:pt>
                <c:pt idx="19">
                  <c:v>609.5</c:v>
                </c:pt>
                <c:pt idx="20">
                  <c:v>990</c:v>
                </c:pt>
                <c:pt idx="21">
                  <c:v>4443.8499999999995</c:v>
                </c:pt>
                <c:pt idx="22">
                  <c:v>604</c:v>
                </c:pt>
                <c:pt idx="23">
                  <c:v>2415</c:v>
                </c:pt>
                <c:pt idx="24">
                  <c:v>5320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52-458F-8EED-0DA0F2B7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99512096"/>
        <c:axId val="1399513056"/>
      </c:barChart>
      <c:lineChart>
        <c:grouping val="standard"/>
        <c:varyColors val="0"/>
        <c:ser>
          <c:idx val="0"/>
          <c:order val="0"/>
          <c:tx>
            <c:strRef>
              <c:f>'Análise Semana 2'!$C$61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2'!$B$62:$B$92</c:f>
              <c:multiLvlStrCache>
                <c:ptCount val="25"/>
                <c:lvl>
                  <c:pt idx="0">
                    <c:v>Queijo</c:v>
                  </c:pt>
                  <c:pt idx="1">
                    <c:v>Chocolate</c:v>
                  </c:pt>
                  <c:pt idx="2">
                    <c:v>Arroz</c:v>
                  </c:pt>
                  <c:pt idx="3">
                    <c:v>Pão de Forma</c:v>
                  </c:pt>
                  <c:pt idx="4">
                    <c:v>Frango</c:v>
                  </c:pt>
                  <c:pt idx="5">
                    <c:v>Suco</c:v>
                  </c:pt>
                  <c:pt idx="6">
                    <c:v>Alface</c:v>
                  </c:pt>
                  <c:pt idx="7">
                    <c:v>Carne</c:v>
                  </c:pt>
                  <c:pt idx="8">
                    <c:v>Cerveja</c:v>
                  </c:pt>
                  <c:pt idx="9">
                    <c:v>Arroz</c:v>
                  </c:pt>
                  <c:pt idx="10">
                    <c:v>Leite</c:v>
                  </c:pt>
                  <c:pt idx="11">
                    <c:v>Peixe</c:v>
                  </c:pt>
                  <c:pt idx="12">
                    <c:v>Carne</c:v>
                  </c:pt>
                  <c:pt idx="13">
                    <c:v>Pão de Forma</c:v>
                  </c:pt>
                  <c:pt idx="14">
                    <c:v>Carne</c:v>
                  </c:pt>
                  <c:pt idx="15">
                    <c:v>Cigarro</c:v>
                  </c:pt>
                  <c:pt idx="16">
                    <c:v>Arroz</c:v>
                  </c:pt>
                  <c:pt idx="17">
                    <c:v>Leite</c:v>
                  </c:pt>
                  <c:pt idx="18">
                    <c:v>Queijo</c:v>
                  </c:pt>
                  <c:pt idx="19">
                    <c:v>Refrigerante</c:v>
                  </c:pt>
                  <c:pt idx="20">
                    <c:v>Frango</c:v>
                  </c:pt>
                  <c:pt idx="21">
                    <c:v>Peixe</c:v>
                  </c:pt>
                  <c:pt idx="22">
                    <c:v>Tomate</c:v>
                  </c:pt>
                  <c:pt idx="23">
                    <c:v>Vagem</c:v>
                  </c:pt>
                  <c:pt idx="24">
                    <c:v>Vodka</c:v>
                  </c:pt>
                </c:lvl>
                <c:lvl>
                  <c:pt idx="0">
                    <c:v>Loja</c:v>
                  </c:pt>
                  <c:pt idx="2">
                    <c:v>Zona Norte</c:v>
                  </c:pt>
                  <c:pt idx="9">
                    <c:v>Zona Oeste</c:v>
                  </c:pt>
                  <c:pt idx="13">
                    <c:v>Zona Sul</c:v>
                  </c:pt>
                  <c:pt idx="16">
                    <c:v>Centro</c:v>
                  </c:pt>
                </c:lvl>
              </c:multiLvlStrCache>
            </c:multiLvlStrRef>
          </c:cat>
          <c:val>
            <c:numRef>
              <c:f>'Análise Semana 2'!$C$62:$C$92</c:f>
              <c:numCache>
                <c:formatCode>General</c:formatCode>
                <c:ptCount val="25"/>
                <c:pt idx="0">
                  <c:v>5</c:v>
                </c:pt>
                <c:pt idx="1">
                  <c:v>25</c:v>
                </c:pt>
                <c:pt idx="2">
                  <c:v>123</c:v>
                </c:pt>
                <c:pt idx="3">
                  <c:v>165</c:v>
                </c:pt>
                <c:pt idx="4">
                  <c:v>200</c:v>
                </c:pt>
                <c:pt idx="5">
                  <c:v>150</c:v>
                </c:pt>
                <c:pt idx="6">
                  <c:v>300</c:v>
                </c:pt>
                <c:pt idx="7">
                  <c:v>230</c:v>
                </c:pt>
                <c:pt idx="8">
                  <c:v>429</c:v>
                </c:pt>
                <c:pt idx="9">
                  <c:v>150</c:v>
                </c:pt>
                <c:pt idx="10">
                  <c:v>245</c:v>
                </c:pt>
                <c:pt idx="11">
                  <c:v>268</c:v>
                </c:pt>
                <c:pt idx="12">
                  <c:v>135</c:v>
                </c:pt>
                <c:pt idx="13">
                  <c:v>300</c:v>
                </c:pt>
                <c:pt idx="14">
                  <c:v>250</c:v>
                </c:pt>
                <c:pt idx="15">
                  <c:v>400</c:v>
                </c:pt>
                <c:pt idx="16">
                  <c:v>230</c:v>
                </c:pt>
                <c:pt idx="17">
                  <c:v>340</c:v>
                </c:pt>
                <c:pt idx="18">
                  <c:v>240</c:v>
                </c:pt>
                <c:pt idx="19">
                  <c:v>230</c:v>
                </c:pt>
                <c:pt idx="20">
                  <c:v>100</c:v>
                </c:pt>
                <c:pt idx="21">
                  <c:v>155</c:v>
                </c:pt>
                <c:pt idx="22">
                  <c:v>100</c:v>
                </c:pt>
                <c:pt idx="23">
                  <c:v>230</c:v>
                </c:pt>
                <c:pt idx="2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2-458F-8EED-0DA0F2B7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633424"/>
        <c:axId val="953626704"/>
      </c:lineChart>
      <c:catAx>
        <c:axId val="139951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513056"/>
        <c:crosses val="autoZero"/>
        <c:auto val="1"/>
        <c:lblAlgn val="ctr"/>
        <c:lblOffset val="100"/>
        <c:noMultiLvlLbl val="0"/>
      </c:catAx>
      <c:valAx>
        <c:axId val="139951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512096"/>
        <c:crosses val="autoZero"/>
        <c:crossBetween val="between"/>
      </c:valAx>
      <c:valAx>
        <c:axId val="953626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633424"/>
        <c:crosses val="max"/>
        <c:crossBetween val="between"/>
      </c:valAx>
      <c:catAx>
        <c:axId val="95363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3626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9287198813179"/>
          <c:y val="0.51474755258409177"/>
          <c:w val="0.15282541528814708"/>
          <c:h val="0.14374021572141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3!Tabela dinâmica2</c:name>
    <c:fmtId val="0"/>
  </c:pivotSource>
  <c:chart>
    <c:autoTitleDeleted val="0"/>
    <c:pivotFmts>
      <c:pivotFmt>
        <c:idx val="0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33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'Análise Semana 3'!$D$54</c:f>
              <c:strCache>
                <c:ptCount val="1"/>
                <c:pt idx="0">
                  <c:v>Soma de Taxa de Entrega</c:v>
                </c:pt>
              </c:strCache>
            </c:strRef>
          </c:tx>
          <c:spPr>
            <a:solidFill>
              <a:srgbClr val="FF3300"/>
            </a:solidFill>
            <a:ln>
              <a:noFill/>
            </a:ln>
            <a:effectLst/>
          </c:spPr>
          <c:cat>
            <c:multiLvlStrRef>
              <c:f>'Análise Semana 3'!$B$55:$B$84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Bala</c:v>
                  </c:pt>
                  <c:pt idx="3">
                    <c:v>Carne</c:v>
                  </c:pt>
                  <c:pt idx="4">
                    <c:v>Cerveja</c:v>
                  </c:pt>
                  <c:pt idx="5">
                    <c:v>Leite</c:v>
                  </c:pt>
                  <c:pt idx="6">
                    <c:v>Arroz</c:v>
                  </c:pt>
                  <c:pt idx="7">
                    <c:v>Suco</c:v>
                  </c:pt>
                  <c:pt idx="8">
                    <c:v>Amendoim</c:v>
                  </c:pt>
                  <c:pt idx="9">
                    <c:v>Caixa de Fósforo</c:v>
                  </c:pt>
                  <c:pt idx="10">
                    <c:v>Cenoura</c:v>
                  </c:pt>
                  <c:pt idx="11">
                    <c:v>Cigarro</c:v>
                  </c:pt>
                  <c:pt idx="12">
                    <c:v>Carne</c:v>
                  </c:pt>
                  <c:pt idx="13">
                    <c:v>Couve</c:v>
                  </c:pt>
                  <c:pt idx="14">
                    <c:v>Cerveja</c:v>
                  </c:pt>
                  <c:pt idx="15">
                    <c:v>Tomate</c:v>
                  </c:pt>
                  <c:pt idx="16">
                    <c:v>Arroz</c:v>
                  </c:pt>
                  <c:pt idx="17">
                    <c:v>Alface</c:v>
                  </c:pt>
                  <c:pt idx="18">
                    <c:v>Barra de Cereal</c:v>
                  </c:pt>
                  <c:pt idx="19">
                    <c:v>Refrigerante</c:v>
                  </c:pt>
                  <c:pt idx="20">
                    <c:v>Bala</c:v>
                  </c:pt>
                  <c:pt idx="21">
                    <c:v>Queijo</c:v>
                  </c:pt>
                  <c:pt idx="22">
                    <c:v>Feijão</c:v>
                  </c:pt>
                  <c:pt idx="23">
                    <c:v>Vodka</c:v>
                  </c:pt>
                </c:lvl>
                <c:lvl>
                  <c:pt idx="0">
                    <c:v>Zona Norte</c:v>
                  </c:pt>
                  <c:pt idx="7">
                    <c:v>Zona Sul</c:v>
                  </c:pt>
                  <c:pt idx="10">
                    <c:v>Loja</c:v>
                  </c:pt>
                  <c:pt idx="13">
                    <c:v>Centro</c:v>
                  </c:pt>
                  <c:pt idx="20">
                    <c:v>Zona Oeste</c:v>
                  </c:pt>
                </c:lvl>
              </c:multiLvlStrCache>
            </c:multiLvlStrRef>
          </c:cat>
          <c:val>
            <c:numRef>
              <c:f>'Análise Semana 3'!$D$55:$D$84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190</c:v>
                </c:pt>
                <c:pt idx="3">
                  <c:v>190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100</c:v>
                </c:pt>
                <c:pt idx="20">
                  <c:v>210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2-4F1F-A861-10B80B4E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871120"/>
        <c:axId val="1523868240"/>
      </c:areaChart>
      <c:barChart>
        <c:barDir val="col"/>
        <c:grouping val="clustered"/>
        <c:varyColors val="0"/>
        <c:ser>
          <c:idx val="2"/>
          <c:order val="2"/>
          <c:tx>
            <c:strRef>
              <c:f>'Análise Semana 3'!$E$54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3'!$B$55:$B$84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Bala</c:v>
                  </c:pt>
                  <c:pt idx="3">
                    <c:v>Carne</c:v>
                  </c:pt>
                  <c:pt idx="4">
                    <c:v>Cerveja</c:v>
                  </c:pt>
                  <c:pt idx="5">
                    <c:v>Leite</c:v>
                  </c:pt>
                  <c:pt idx="6">
                    <c:v>Arroz</c:v>
                  </c:pt>
                  <c:pt idx="7">
                    <c:v>Suco</c:v>
                  </c:pt>
                  <c:pt idx="8">
                    <c:v>Amendoim</c:v>
                  </c:pt>
                  <c:pt idx="9">
                    <c:v>Caixa de Fósforo</c:v>
                  </c:pt>
                  <c:pt idx="10">
                    <c:v>Cenoura</c:v>
                  </c:pt>
                  <c:pt idx="11">
                    <c:v>Cigarro</c:v>
                  </c:pt>
                  <c:pt idx="12">
                    <c:v>Carne</c:v>
                  </c:pt>
                  <c:pt idx="13">
                    <c:v>Couve</c:v>
                  </c:pt>
                  <c:pt idx="14">
                    <c:v>Cerveja</c:v>
                  </c:pt>
                  <c:pt idx="15">
                    <c:v>Tomate</c:v>
                  </c:pt>
                  <c:pt idx="16">
                    <c:v>Arroz</c:v>
                  </c:pt>
                  <c:pt idx="17">
                    <c:v>Alface</c:v>
                  </c:pt>
                  <c:pt idx="18">
                    <c:v>Barra de Cereal</c:v>
                  </c:pt>
                  <c:pt idx="19">
                    <c:v>Refrigerante</c:v>
                  </c:pt>
                  <c:pt idx="20">
                    <c:v>Bala</c:v>
                  </c:pt>
                  <c:pt idx="21">
                    <c:v>Queijo</c:v>
                  </c:pt>
                  <c:pt idx="22">
                    <c:v>Feijão</c:v>
                  </c:pt>
                  <c:pt idx="23">
                    <c:v>Vodka</c:v>
                  </c:pt>
                </c:lvl>
                <c:lvl>
                  <c:pt idx="0">
                    <c:v>Zona Norte</c:v>
                  </c:pt>
                  <c:pt idx="7">
                    <c:v>Zona Sul</c:v>
                  </c:pt>
                  <c:pt idx="10">
                    <c:v>Loja</c:v>
                  </c:pt>
                  <c:pt idx="13">
                    <c:v>Centro</c:v>
                  </c:pt>
                  <c:pt idx="20">
                    <c:v>Zona Oeste</c:v>
                  </c:pt>
                </c:lvl>
              </c:multiLvlStrCache>
            </c:multiLvlStrRef>
          </c:cat>
          <c:val>
            <c:numRef>
              <c:f>'Análise Semana 3'!$E$55:$E$84</c:f>
              <c:numCache>
                <c:formatCode>_("R$"* #,##0.00_);_("R$"* \(#,##0.00\);_("R$"* "-"??_);_(@_)</c:formatCode>
                <c:ptCount val="24"/>
                <c:pt idx="0">
                  <c:v>806.40000000000009</c:v>
                </c:pt>
                <c:pt idx="1">
                  <c:v>2109.8879999999999</c:v>
                </c:pt>
                <c:pt idx="2">
                  <c:v>620</c:v>
                </c:pt>
                <c:pt idx="3">
                  <c:v>9274.5999999999985</c:v>
                </c:pt>
                <c:pt idx="4">
                  <c:v>1301.3</c:v>
                </c:pt>
                <c:pt idx="5">
                  <c:v>812.15</c:v>
                </c:pt>
                <c:pt idx="6">
                  <c:v>1325</c:v>
                </c:pt>
                <c:pt idx="7">
                  <c:v>989.52</c:v>
                </c:pt>
                <c:pt idx="8">
                  <c:v>270.90000000000003</c:v>
                </c:pt>
                <c:pt idx="9">
                  <c:v>340</c:v>
                </c:pt>
                <c:pt idx="10">
                  <c:v>43.5</c:v>
                </c:pt>
                <c:pt idx="11">
                  <c:v>426</c:v>
                </c:pt>
                <c:pt idx="12">
                  <c:v>154.5</c:v>
                </c:pt>
                <c:pt idx="13">
                  <c:v>784</c:v>
                </c:pt>
                <c:pt idx="14">
                  <c:v>1100</c:v>
                </c:pt>
                <c:pt idx="15">
                  <c:v>1415.44</c:v>
                </c:pt>
                <c:pt idx="16">
                  <c:v>1537</c:v>
                </c:pt>
                <c:pt idx="17">
                  <c:v>1173</c:v>
                </c:pt>
                <c:pt idx="18">
                  <c:v>472.50000000000006</c:v>
                </c:pt>
                <c:pt idx="19">
                  <c:v>1292.5</c:v>
                </c:pt>
                <c:pt idx="20">
                  <c:v>962.5</c:v>
                </c:pt>
                <c:pt idx="21">
                  <c:v>7065.6</c:v>
                </c:pt>
                <c:pt idx="22">
                  <c:v>1727.2</c:v>
                </c:pt>
                <c:pt idx="23">
                  <c:v>10689.4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32-4F1F-A861-10B80B4E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3871120"/>
        <c:axId val="1523868240"/>
      </c:barChart>
      <c:lineChart>
        <c:grouping val="standard"/>
        <c:varyColors val="0"/>
        <c:ser>
          <c:idx val="0"/>
          <c:order val="0"/>
          <c:tx>
            <c:strRef>
              <c:f>'Análise Semana 3'!$C$54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3'!$B$55:$B$84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Bala</c:v>
                  </c:pt>
                  <c:pt idx="3">
                    <c:v>Carne</c:v>
                  </c:pt>
                  <c:pt idx="4">
                    <c:v>Cerveja</c:v>
                  </c:pt>
                  <c:pt idx="5">
                    <c:v>Leite</c:v>
                  </c:pt>
                  <c:pt idx="6">
                    <c:v>Arroz</c:v>
                  </c:pt>
                  <c:pt idx="7">
                    <c:v>Suco</c:v>
                  </c:pt>
                  <c:pt idx="8">
                    <c:v>Amendoim</c:v>
                  </c:pt>
                  <c:pt idx="9">
                    <c:v>Caixa de Fósforo</c:v>
                  </c:pt>
                  <c:pt idx="10">
                    <c:v>Cenoura</c:v>
                  </c:pt>
                  <c:pt idx="11">
                    <c:v>Cigarro</c:v>
                  </c:pt>
                  <c:pt idx="12">
                    <c:v>Carne</c:v>
                  </c:pt>
                  <c:pt idx="13">
                    <c:v>Couve</c:v>
                  </c:pt>
                  <c:pt idx="14">
                    <c:v>Cerveja</c:v>
                  </c:pt>
                  <c:pt idx="15">
                    <c:v>Tomate</c:v>
                  </c:pt>
                  <c:pt idx="16">
                    <c:v>Arroz</c:v>
                  </c:pt>
                  <c:pt idx="17">
                    <c:v>Alface</c:v>
                  </c:pt>
                  <c:pt idx="18">
                    <c:v>Barra de Cereal</c:v>
                  </c:pt>
                  <c:pt idx="19">
                    <c:v>Refrigerante</c:v>
                  </c:pt>
                  <c:pt idx="20">
                    <c:v>Bala</c:v>
                  </c:pt>
                  <c:pt idx="21">
                    <c:v>Queijo</c:v>
                  </c:pt>
                  <c:pt idx="22">
                    <c:v>Feijão</c:v>
                  </c:pt>
                  <c:pt idx="23">
                    <c:v>Vodka</c:v>
                  </c:pt>
                </c:lvl>
                <c:lvl>
                  <c:pt idx="0">
                    <c:v>Zona Norte</c:v>
                  </c:pt>
                  <c:pt idx="7">
                    <c:v>Zona Sul</c:v>
                  </c:pt>
                  <c:pt idx="10">
                    <c:v>Loja</c:v>
                  </c:pt>
                  <c:pt idx="13">
                    <c:v>Centro</c:v>
                  </c:pt>
                  <c:pt idx="20">
                    <c:v>Zona Oeste</c:v>
                  </c:pt>
                </c:lvl>
              </c:multiLvlStrCache>
            </c:multiLvlStrRef>
          </c:cat>
          <c:val>
            <c:numRef>
              <c:f>'Análise Semana 3'!$C$55:$C$84</c:f>
              <c:numCache>
                <c:formatCode>General</c:formatCode>
                <c:ptCount val="24"/>
                <c:pt idx="0">
                  <c:v>320</c:v>
                </c:pt>
                <c:pt idx="1">
                  <c:v>222</c:v>
                </c:pt>
                <c:pt idx="2">
                  <c:v>200</c:v>
                </c:pt>
                <c:pt idx="3">
                  <c:v>303</c:v>
                </c:pt>
                <c:pt idx="4">
                  <c:v>520</c:v>
                </c:pt>
                <c:pt idx="5">
                  <c:v>185</c:v>
                </c:pt>
                <c:pt idx="6">
                  <c:v>250</c:v>
                </c:pt>
                <c:pt idx="7">
                  <c:v>280</c:v>
                </c:pt>
                <c:pt idx="8">
                  <c:v>210</c:v>
                </c:pt>
                <c:pt idx="9">
                  <c:v>200</c:v>
                </c:pt>
                <c:pt idx="10">
                  <c:v>10</c:v>
                </c:pt>
                <c:pt idx="11">
                  <c:v>60</c:v>
                </c:pt>
                <c:pt idx="12">
                  <c:v>5</c:v>
                </c:pt>
                <c:pt idx="13">
                  <c:v>280</c:v>
                </c:pt>
                <c:pt idx="14">
                  <c:v>400</c:v>
                </c:pt>
                <c:pt idx="15">
                  <c:v>240</c:v>
                </c:pt>
                <c:pt idx="16">
                  <c:v>290</c:v>
                </c:pt>
                <c:pt idx="17">
                  <c:v>340</c:v>
                </c:pt>
                <c:pt idx="18">
                  <c:v>350</c:v>
                </c:pt>
                <c:pt idx="19">
                  <c:v>450</c:v>
                </c:pt>
                <c:pt idx="20">
                  <c:v>350</c:v>
                </c:pt>
                <c:pt idx="21">
                  <c:v>240</c:v>
                </c:pt>
                <c:pt idx="22">
                  <c:v>254</c:v>
                </c:pt>
                <c:pt idx="23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2-4F1F-A861-10B80B4E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7589952"/>
        <c:axId val="1567591872"/>
      </c:lineChart>
      <c:catAx>
        <c:axId val="152387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868240"/>
        <c:crosses val="autoZero"/>
        <c:auto val="1"/>
        <c:lblAlgn val="ctr"/>
        <c:lblOffset val="100"/>
        <c:noMultiLvlLbl val="0"/>
      </c:catAx>
      <c:valAx>
        <c:axId val="15238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871120"/>
        <c:crosses val="autoZero"/>
        <c:crossBetween val="between"/>
      </c:valAx>
      <c:valAx>
        <c:axId val="1567591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589952"/>
        <c:crosses val="max"/>
        <c:crossBetween val="between"/>
      </c:valAx>
      <c:catAx>
        <c:axId val="1567589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67591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93303901411543"/>
          <c:y val="0.49591084445558037"/>
          <c:w val="0.14494939472117482"/>
          <c:h val="0.148516054552705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3!Tabela dinâmica1</c:name>
    <c:fmtId val="0"/>
  </c:pivotSource>
  <c:chart>
    <c:autoTitleDeleted val="0"/>
    <c:pivotFmts>
      <c:pivotFmt>
        <c:idx val="0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'Análise Semana 3'!$D$4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3'!$B$5:$B$36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Bala</c:v>
                  </c:pt>
                  <c:pt idx="3">
                    <c:v>Suco</c:v>
                  </c:pt>
                  <c:pt idx="4">
                    <c:v>Amendoim</c:v>
                  </c:pt>
                  <c:pt idx="5">
                    <c:v>Caixa de Fósforo</c:v>
                  </c:pt>
                  <c:pt idx="6">
                    <c:v>Cenoura</c:v>
                  </c:pt>
                  <c:pt idx="7">
                    <c:v>Cigarro</c:v>
                  </c:pt>
                  <c:pt idx="8">
                    <c:v>Carne</c:v>
                  </c:pt>
                  <c:pt idx="9">
                    <c:v>Couve</c:v>
                  </c:pt>
                  <c:pt idx="10">
                    <c:v>Cerveja</c:v>
                  </c:pt>
                  <c:pt idx="11">
                    <c:v>Tomate</c:v>
                  </c:pt>
                  <c:pt idx="12">
                    <c:v>Carne</c:v>
                  </c:pt>
                  <c:pt idx="13">
                    <c:v>Cerveja</c:v>
                  </c:pt>
                  <c:pt idx="14">
                    <c:v>Leite</c:v>
                  </c:pt>
                  <c:pt idx="15">
                    <c:v>Arroz</c:v>
                  </c:pt>
                  <c:pt idx="16">
                    <c:v>Arroz</c:v>
                  </c:pt>
                  <c:pt idx="17">
                    <c:v>Alface</c:v>
                  </c:pt>
                  <c:pt idx="18">
                    <c:v>Barra de Cereal</c:v>
                  </c:pt>
                  <c:pt idx="19">
                    <c:v>Refrigerante</c:v>
                  </c:pt>
                  <c:pt idx="20">
                    <c:v>Bala</c:v>
                  </c:pt>
                  <c:pt idx="21">
                    <c:v>Queijo</c:v>
                  </c:pt>
                  <c:pt idx="22">
                    <c:v>Feijão</c:v>
                  </c:pt>
                  <c:pt idx="23">
                    <c:v>Vodka</c:v>
                  </c:pt>
                </c:lvl>
                <c:lvl>
                  <c:pt idx="0">
                    <c:v>17/08/2025</c:v>
                  </c:pt>
                  <c:pt idx="3">
                    <c:v>16/08/2025</c:v>
                  </c:pt>
                  <c:pt idx="6">
                    <c:v>15/08/2025</c:v>
                  </c:pt>
                  <c:pt idx="9">
                    <c:v>14/08/2025</c:v>
                  </c:pt>
                  <c:pt idx="12">
                    <c:v>13/08/2025</c:v>
                  </c:pt>
                  <c:pt idx="16">
                    <c:v>12/08/2025</c:v>
                  </c:pt>
                  <c:pt idx="20">
                    <c:v>11/08/2025</c:v>
                  </c:pt>
                </c:lvl>
              </c:multiLvlStrCache>
            </c:multiLvlStrRef>
          </c:cat>
          <c:val>
            <c:numRef>
              <c:f>'Análise Semana 3'!$D$5:$D$36</c:f>
              <c:numCache>
                <c:formatCode>_("R$"* #,##0.00_);_("R$"* \(#,##0.00\);_("R$"* "-"??_);_(@_)</c:formatCode>
                <c:ptCount val="24"/>
                <c:pt idx="0">
                  <c:v>806.40000000000009</c:v>
                </c:pt>
                <c:pt idx="1">
                  <c:v>2109.8879999999999</c:v>
                </c:pt>
                <c:pt idx="2">
                  <c:v>620</c:v>
                </c:pt>
                <c:pt idx="3">
                  <c:v>989.52</c:v>
                </c:pt>
                <c:pt idx="4">
                  <c:v>270.90000000000003</c:v>
                </c:pt>
                <c:pt idx="5">
                  <c:v>340</c:v>
                </c:pt>
                <c:pt idx="6">
                  <c:v>43.5</c:v>
                </c:pt>
                <c:pt idx="7">
                  <c:v>426</c:v>
                </c:pt>
                <c:pt idx="8">
                  <c:v>154.5</c:v>
                </c:pt>
                <c:pt idx="9">
                  <c:v>784</c:v>
                </c:pt>
                <c:pt idx="10">
                  <c:v>1100</c:v>
                </c:pt>
                <c:pt idx="11">
                  <c:v>1415.44</c:v>
                </c:pt>
                <c:pt idx="12">
                  <c:v>9274.5999999999985</c:v>
                </c:pt>
                <c:pt idx="13">
                  <c:v>1301.3</c:v>
                </c:pt>
                <c:pt idx="14">
                  <c:v>812.15</c:v>
                </c:pt>
                <c:pt idx="15">
                  <c:v>1325</c:v>
                </c:pt>
                <c:pt idx="16">
                  <c:v>1537</c:v>
                </c:pt>
                <c:pt idx="17">
                  <c:v>1173</c:v>
                </c:pt>
                <c:pt idx="18">
                  <c:v>472.50000000000006</c:v>
                </c:pt>
                <c:pt idx="19">
                  <c:v>1292.5</c:v>
                </c:pt>
                <c:pt idx="20">
                  <c:v>962.5</c:v>
                </c:pt>
                <c:pt idx="21">
                  <c:v>7065.6</c:v>
                </c:pt>
                <c:pt idx="22">
                  <c:v>1727.2</c:v>
                </c:pt>
                <c:pt idx="23">
                  <c:v>10689.4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E1-4808-8F7E-C4D5F5576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9637024"/>
        <c:axId val="1379637984"/>
      </c:barChart>
      <c:lineChart>
        <c:grouping val="standard"/>
        <c:varyColors val="0"/>
        <c:ser>
          <c:idx val="0"/>
          <c:order val="0"/>
          <c:tx>
            <c:strRef>
              <c:f>'Análise Semana 3'!$C$4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3'!$B$5:$B$36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Bala</c:v>
                  </c:pt>
                  <c:pt idx="3">
                    <c:v>Suco</c:v>
                  </c:pt>
                  <c:pt idx="4">
                    <c:v>Amendoim</c:v>
                  </c:pt>
                  <c:pt idx="5">
                    <c:v>Caixa de Fósforo</c:v>
                  </c:pt>
                  <c:pt idx="6">
                    <c:v>Cenoura</c:v>
                  </c:pt>
                  <c:pt idx="7">
                    <c:v>Cigarro</c:v>
                  </c:pt>
                  <c:pt idx="8">
                    <c:v>Carne</c:v>
                  </c:pt>
                  <c:pt idx="9">
                    <c:v>Couve</c:v>
                  </c:pt>
                  <c:pt idx="10">
                    <c:v>Cerveja</c:v>
                  </c:pt>
                  <c:pt idx="11">
                    <c:v>Tomate</c:v>
                  </c:pt>
                  <c:pt idx="12">
                    <c:v>Carne</c:v>
                  </c:pt>
                  <c:pt idx="13">
                    <c:v>Cerveja</c:v>
                  </c:pt>
                  <c:pt idx="14">
                    <c:v>Leite</c:v>
                  </c:pt>
                  <c:pt idx="15">
                    <c:v>Arroz</c:v>
                  </c:pt>
                  <c:pt idx="16">
                    <c:v>Arroz</c:v>
                  </c:pt>
                  <c:pt idx="17">
                    <c:v>Alface</c:v>
                  </c:pt>
                  <c:pt idx="18">
                    <c:v>Barra de Cereal</c:v>
                  </c:pt>
                  <c:pt idx="19">
                    <c:v>Refrigerante</c:v>
                  </c:pt>
                  <c:pt idx="20">
                    <c:v>Bala</c:v>
                  </c:pt>
                  <c:pt idx="21">
                    <c:v>Queijo</c:v>
                  </c:pt>
                  <c:pt idx="22">
                    <c:v>Feijão</c:v>
                  </c:pt>
                  <c:pt idx="23">
                    <c:v>Vodka</c:v>
                  </c:pt>
                </c:lvl>
                <c:lvl>
                  <c:pt idx="0">
                    <c:v>17/08/2025</c:v>
                  </c:pt>
                  <c:pt idx="3">
                    <c:v>16/08/2025</c:v>
                  </c:pt>
                  <c:pt idx="6">
                    <c:v>15/08/2025</c:v>
                  </c:pt>
                  <c:pt idx="9">
                    <c:v>14/08/2025</c:v>
                  </c:pt>
                  <c:pt idx="12">
                    <c:v>13/08/2025</c:v>
                  </c:pt>
                  <c:pt idx="16">
                    <c:v>12/08/2025</c:v>
                  </c:pt>
                  <c:pt idx="20">
                    <c:v>11/08/2025</c:v>
                  </c:pt>
                </c:lvl>
              </c:multiLvlStrCache>
            </c:multiLvlStrRef>
          </c:cat>
          <c:val>
            <c:numRef>
              <c:f>'Análise Semana 3'!$C$5:$C$36</c:f>
              <c:numCache>
                <c:formatCode>General</c:formatCode>
                <c:ptCount val="24"/>
                <c:pt idx="0">
                  <c:v>320</c:v>
                </c:pt>
                <c:pt idx="1">
                  <c:v>222</c:v>
                </c:pt>
                <c:pt idx="2">
                  <c:v>200</c:v>
                </c:pt>
                <c:pt idx="3">
                  <c:v>280</c:v>
                </c:pt>
                <c:pt idx="4">
                  <c:v>210</c:v>
                </c:pt>
                <c:pt idx="5">
                  <c:v>200</c:v>
                </c:pt>
                <c:pt idx="6">
                  <c:v>10</c:v>
                </c:pt>
                <c:pt idx="7">
                  <c:v>60</c:v>
                </c:pt>
                <c:pt idx="8">
                  <c:v>5</c:v>
                </c:pt>
                <c:pt idx="9">
                  <c:v>280</c:v>
                </c:pt>
                <c:pt idx="10">
                  <c:v>400</c:v>
                </c:pt>
                <c:pt idx="11">
                  <c:v>240</c:v>
                </c:pt>
                <c:pt idx="12">
                  <c:v>303</c:v>
                </c:pt>
                <c:pt idx="13">
                  <c:v>520</c:v>
                </c:pt>
                <c:pt idx="14">
                  <c:v>185</c:v>
                </c:pt>
                <c:pt idx="15">
                  <c:v>250</c:v>
                </c:pt>
                <c:pt idx="16">
                  <c:v>290</c:v>
                </c:pt>
                <c:pt idx="17">
                  <c:v>340</c:v>
                </c:pt>
                <c:pt idx="18">
                  <c:v>350</c:v>
                </c:pt>
                <c:pt idx="19">
                  <c:v>450</c:v>
                </c:pt>
                <c:pt idx="20">
                  <c:v>350</c:v>
                </c:pt>
                <c:pt idx="21">
                  <c:v>240</c:v>
                </c:pt>
                <c:pt idx="22">
                  <c:v>254</c:v>
                </c:pt>
                <c:pt idx="23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E1-4808-8F7E-C4D5F5576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136864"/>
        <c:axId val="1373136384"/>
      </c:lineChart>
      <c:catAx>
        <c:axId val="137963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637984"/>
        <c:crosses val="autoZero"/>
        <c:auto val="1"/>
        <c:lblAlgn val="ctr"/>
        <c:lblOffset val="100"/>
        <c:noMultiLvlLbl val="0"/>
      </c:catAx>
      <c:valAx>
        <c:axId val="137963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637024"/>
        <c:crosses val="autoZero"/>
        <c:crossBetween val="between"/>
      </c:valAx>
      <c:valAx>
        <c:axId val="1373136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136864"/>
        <c:crosses val="max"/>
        <c:crossBetween val="between"/>
      </c:valAx>
      <c:catAx>
        <c:axId val="1373136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3136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99710062110901"/>
          <c:y val="0.50634586340063226"/>
          <c:w val="0.13501683141466231"/>
          <c:h val="0.10712032655685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4!Tabela dinâmica1</c:name>
    <c:fmtId val="0"/>
  </c:pivotSource>
  <c:chart>
    <c:autoTitleDeleted val="0"/>
    <c:pivotFmts>
      <c:pivotFmt>
        <c:idx val="0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'Análise Semana 4'!$D$4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4'!$B$5:$B$36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Chocolate</c:v>
                  </c:pt>
                  <c:pt idx="3">
                    <c:v>Suco</c:v>
                  </c:pt>
                  <c:pt idx="4">
                    <c:v>Vinho</c:v>
                  </c:pt>
                  <c:pt idx="5">
                    <c:v>Leite</c:v>
                  </c:pt>
                  <c:pt idx="6">
                    <c:v>Alface</c:v>
                  </c:pt>
                  <c:pt idx="7">
                    <c:v>Feijão</c:v>
                  </c:pt>
                  <c:pt idx="8">
                    <c:v>Cigarro</c:v>
                  </c:pt>
                  <c:pt idx="9">
                    <c:v>Barra de Cereal</c:v>
                  </c:pt>
                  <c:pt idx="10">
                    <c:v>Chocolate</c:v>
                  </c:pt>
                  <c:pt idx="11">
                    <c:v>Refrigerante</c:v>
                  </c:pt>
                  <c:pt idx="12">
                    <c:v>Carne</c:v>
                  </c:pt>
                  <c:pt idx="13">
                    <c:v>Leite</c:v>
                  </c:pt>
                  <c:pt idx="14">
                    <c:v>Caixa de Fósforo</c:v>
                  </c:pt>
                  <c:pt idx="15">
                    <c:v>Tomate</c:v>
                  </c:pt>
                  <c:pt idx="16">
                    <c:v>Couve</c:v>
                  </c:pt>
                  <c:pt idx="17">
                    <c:v>Frango</c:v>
                  </c:pt>
                  <c:pt idx="18">
                    <c:v>Arroz</c:v>
                  </c:pt>
                  <c:pt idx="19">
                    <c:v>Queijo</c:v>
                  </c:pt>
                  <c:pt idx="20">
                    <c:v>Vodka</c:v>
                  </c:pt>
                  <c:pt idx="21">
                    <c:v>Barra de Cereal</c:v>
                  </c:pt>
                  <c:pt idx="22">
                    <c:v>Carne</c:v>
                  </c:pt>
                  <c:pt idx="23">
                    <c:v>Cerveja</c:v>
                  </c:pt>
                </c:lvl>
                <c:lvl>
                  <c:pt idx="0">
                    <c:v>24/08/2025</c:v>
                  </c:pt>
                  <c:pt idx="4">
                    <c:v>23/08/2025</c:v>
                  </c:pt>
                  <c:pt idx="6">
                    <c:v>22/08/2025</c:v>
                  </c:pt>
                  <c:pt idx="10">
                    <c:v>21/08/2025</c:v>
                  </c:pt>
                  <c:pt idx="13">
                    <c:v>20/08/2025</c:v>
                  </c:pt>
                  <c:pt idx="17">
                    <c:v>19/08/2025</c:v>
                  </c:pt>
                  <c:pt idx="21">
                    <c:v>18/08/2025</c:v>
                  </c:pt>
                </c:lvl>
              </c:multiLvlStrCache>
            </c:multiLvlStrRef>
          </c:cat>
          <c:val>
            <c:numRef>
              <c:f>'Análise Semana 4'!$D$5:$D$36</c:f>
              <c:numCache>
                <c:formatCode>_("R$"* #,##0.00_);_("R$"* \(#,##0.00\);_("R$"* "-"??_);_(@_)</c:formatCode>
                <c:ptCount val="24"/>
                <c:pt idx="0">
                  <c:v>491.4</c:v>
                </c:pt>
                <c:pt idx="1">
                  <c:v>1045.44</c:v>
                </c:pt>
                <c:pt idx="2">
                  <c:v>817.5</c:v>
                </c:pt>
                <c:pt idx="3">
                  <c:v>1009.28</c:v>
                </c:pt>
                <c:pt idx="4">
                  <c:v>4230</c:v>
                </c:pt>
                <c:pt idx="5">
                  <c:v>888.53599999999994</c:v>
                </c:pt>
                <c:pt idx="6">
                  <c:v>810.75</c:v>
                </c:pt>
                <c:pt idx="7">
                  <c:v>693.6</c:v>
                </c:pt>
                <c:pt idx="8">
                  <c:v>3017.5</c:v>
                </c:pt>
                <c:pt idx="9">
                  <c:v>445.50000000000006</c:v>
                </c:pt>
                <c:pt idx="10">
                  <c:v>1798.5</c:v>
                </c:pt>
                <c:pt idx="11">
                  <c:v>848</c:v>
                </c:pt>
                <c:pt idx="12">
                  <c:v>7380.5999999999995</c:v>
                </c:pt>
                <c:pt idx="13">
                  <c:v>614.59999999999991</c:v>
                </c:pt>
                <c:pt idx="14">
                  <c:v>256.5</c:v>
                </c:pt>
                <c:pt idx="15">
                  <c:v>1575</c:v>
                </c:pt>
                <c:pt idx="16">
                  <c:v>1050</c:v>
                </c:pt>
                <c:pt idx="17">
                  <c:v>959.904</c:v>
                </c:pt>
                <c:pt idx="18">
                  <c:v>1272</c:v>
                </c:pt>
                <c:pt idx="19">
                  <c:v>14707.2</c:v>
                </c:pt>
                <c:pt idx="20">
                  <c:v>6530</c:v>
                </c:pt>
                <c:pt idx="21">
                  <c:v>94.5</c:v>
                </c:pt>
                <c:pt idx="22">
                  <c:v>309</c:v>
                </c:pt>
                <c:pt idx="23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00-4058-AE46-D2BCE9D60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4579184"/>
        <c:axId val="1384591184"/>
      </c:barChart>
      <c:lineChart>
        <c:grouping val="standard"/>
        <c:varyColors val="0"/>
        <c:ser>
          <c:idx val="0"/>
          <c:order val="0"/>
          <c:tx>
            <c:strRef>
              <c:f>'Análise Semana 4'!$C$4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4'!$B$5:$B$36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Chocolate</c:v>
                  </c:pt>
                  <c:pt idx="3">
                    <c:v>Suco</c:v>
                  </c:pt>
                  <c:pt idx="4">
                    <c:v>Vinho</c:v>
                  </c:pt>
                  <c:pt idx="5">
                    <c:v>Leite</c:v>
                  </c:pt>
                  <c:pt idx="6">
                    <c:v>Alface</c:v>
                  </c:pt>
                  <c:pt idx="7">
                    <c:v>Feijão</c:v>
                  </c:pt>
                  <c:pt idx="8">
                    <c:v>Cigarro</c:v>
                  </c:pt>
                  <c:pt idx="9">
                    <c:v>Barra de Cereal</c:v>
                  </c:pt>
                  <c:pt idx="10">
                    <c:v>Chocolate</c:v>
                  </c:pt>
                  <c:pt idx="11">
                    <c:v>Refrigerante</c:v>
                  </c:pt>
                  <c:pt idx="12">
                    <c:v>Carne</c:v>
                  </c:pt>
                  <c:pt idx="13">
                    <c:v>Leite</c:v>
                  </c:pt>
                  <c:pt idx="14">
                    <c:v>Caixa de Fósforo</c:v>
                  </c:pt>
                  <c:pt idx="15">
                    <c:v>Tomate</c:v>
                  </c:pt>
                  <c:pt idx="16">
                    <c:v>Couve</c:v>
                  </c:pt>
                  <c:pt idx="17">
                    <c:v>Frango</c:v>
                  </c:pt>
                  <c:pt idx="18">
                    <c:v>Arroz</c:v>
                  </c:pt>
                  <c:pt idx="19">
                    <c:v>Queijo</c:v>
                  </c:pt>
                  <c:pt idx="20">
                    <c:v>Vodka</c:v>
                  </c:pt>
                  <c:pt idx="21">
                    <c:v>Barra de Cereal</c:v>
                  </c:pt>
                  <c:pt idx="22">
                    <c:v>Carne</c:v>
                  </c:pt>
                  <c:pt idx="23">
                    <c:v>Cerveja</c:v>
                  </c:pt>
                </c:lvl>
                <c:lvl>
                  <c:pt idx="0">
                    <c:v>24/08/2025</c:v>
                  </c:pt>
                  <c:pt idx="4">
                    <c:v>23/08/2025</c:v>
                  </c:pt>
                  <c:pt idx="6">
                    <c:v>22/08/2025</c:v>
                  </c:pt>
                  <c:pt idx="10">
                    <c:v>21/08/2025</c:v>
                  </c:pt>
                  <c:pt idx="13">
                    <c:v>20/08/2025</c:v>
                  </c:pt>
                  <c:pt idx="17">
                    <c:v>19/08/2025</c:v>
                  </c:pt>
                  <c:pt idx="21">
                    <c:v>18/08/2025</c:v>
                  </c:pt>
                </c:lvl>
              </c:multiLvlStrCache>
            </c:multiLvlStrRef>
          </c:cat>
          <c:val>
            <c:numRef>
              <c:f>'Análise Semana 4'!$C$5:$C$36</c:f>
              <c:numCache>
                <c:formatCode>General</c:formatCode>
                <c:ptCount val="24"/>
                <c:pt idx="0">
                  <c:v>156</c:v>
                </c:pt>
                <c:pt idx="1">
                  <c:v>110</c:v>
                </c:pt>
                <c:pt idx="2">
                  <c:v>150</c:v>
                </c:pt>
                <c:pt idx="3">
                  <c:v>220</c:v>
                </c:pt>
                <c:pt idx="4">
                  <c:v>120</c:v>
                </c:pt>
                <c:pt idx="5">
                  <c:v>230</c:v>
                </c:pt>
                <c:pt idx="6">
                  <c:v>235</c:v>
                </c:pt>
                <c:pt idx="7">
                  <c:v>102</c:v>
                </c:pt>
                <c:pt idx="8">
                  <c:v>500</c:v>
                </c:pt>
                <c:pt idx="9">
                  <c:v>330</c:v>
                </c:pt>
                <c:pt idx="10">
                  <c:v>330</c:v>
                </c:pt>
                <c:pt idx="11">
                  <c:v>320</c:v>
                </c:pt>
                <c:pt idx="12">
                  <c:v>234</c:v>
                </c:pt>
                <c:pt idx="13">
                  <c:v>140</c:v>
                </c:pt>
                <c:pt idx="14">
                  <c:v>270</c:v>
                </c:pt>
                <c:pt idx="15">
                  <c:v>250</c:v>
                </c:pt>
                <c:pt idx="16">
                  <c:v>300</c:v>
                </c:pt>
                <c:pt idx="17">
                  <c:v>101</c:v>
                </c:pt>
                <c:pt idx="18">
                  <c:v>240</c:v>
                </c:pt>
                <c:pt idx="19">
                  <c:v>462</c:v>
                </c:pt>
                <c:pt idx="20">
                  <c:v>110</c:v>
                </c:pt>
                <c:pt idx="21">
                  <c:v>70</c:v>
                </c:pt>
                <c:pt idx="22">
                  <c:v>10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00-4058-AE46-D2BCE9D60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496320"/>
        <c:axId val="1400495840"/>
      </c:lineChart>
      <c:catAx>
        <c:axId val="138457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591184"/>
        <c:crosses val="autoZero"/>
        <c:auto val="1"/>
        <c:lblAlgn val="ctr"/>
        <c:lblOffset val="100"/>
        <c:noMultiLvlLbl val="0"/>
      </c:catAx>
      <c:valAx>
        <c:axId val="138459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579184"/>
        <c:crosses val="autoZero"/>
        <c:crossBetween val="between"/>
      </c:valAx>
      <c:valAx>
        <c:axId val="1400495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496320"/>
        <c:crosses val="max"/>
        <c:crossBetween val="between"/>
      </c:valAx>
      <c:catAx>
        <c:axId val="1400496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0495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74780321911015"/>
          <c:y val="0.52963798166024278"/>
          <c:w val="0.13817795875104605"/>
          <c:h val="0.103239722928602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4!Tabela dinâmica2</c:name>
    <c:fmtId val="0"/>
  </c:pivotSource>
  <c:chart>
    <c:autoTitleDeleted val="0"/>
    <c:pivotFmts>
      <c:pivotFmt>
        <c:idx val="0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'Análise Semana 4'!$D$55</c:f>
              <c:strCache>
                <c:ptCount val="1"/>
                <c:pt idx="0">
                  <c:v>Soma de Taxa de Entrega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multiLvlStrRef>
              <c:f>'Análise Semana 4'!$B$56:$B$82</c:f>
              <c:multiLvlStrCache>
                <c:ptCount val="22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Chocolate</c:v>
                  </c:pt>
                  <c:pt idx="3">
                    <c:v>Suco</c:v>
                  </c:pt>
                  <c:pt idx="4">
                    <c:v>Vinho</c:v>
                  </c:pt>
                  <c:pt idx="5">
                    <c:v>Leite</c:v>
                  </c:pt>
                  <c:pt idx="6">
                    <c:v>Caixa de Fósforo</c:v>
                  </c:pt>
                  <c:pt idx="7">
                    <c:v>Tomate</c:v>
                  </c:pt>
                  <c:pt idx="8">
                    <c:v>Couve</c:v>
                  </c:pt>
                  <c:pt idx="9">
                    <c:v>Alface</c:v>
                  </c:pt>
                  <c:pt idx="10">
                    <c:v>Feijão</c:v>
                  </c:pt>
                  <c:pt idx="11">
                    <c:v>Cigarro</c:v>
                  </c:pt>
                  <c:pt idx="12">
                    <c:v>Barra de Cereal</c:v>
                  </c:pt>
                  <c:pt idx="13">
                    <c:v>Carne</c:v>
                  </c:pt>
                  <c:pt idx="14">
                    <c:v>Cerveja</c:v>
                  </c:pt>
                  <c:pt idx="15">
                    <c:v>Frango</c:v>
                  </c:pt>
                  <c:pt idx="16">
                    <c:v>Chocolate</c:v>
                  </c:pt>
                  <c:pt idx="17">
                    <c:v>Refrigerante</c:v>
                  </c:pt>
                  <c:pt idx="18">
                    <c:v>Carne</c:v>
                  </c:pt>
                  <c:pt idx="19">
                    <c:v>Arroz</c:v>
                  </c:pt>
                  <c:pt idx="20">
                    <c:v>Queijo</c:v>
                  </c:pt>
                  <c:pt idx="21">
                    <c:v>Vodka</c:v>
                  </c:pt>
                </c:lvl>
                <c:lvl>
                  <c:pt idx="0">
                    <c:v>Zona Norte</c:v>
                  </c:pt>
                  <c:pt idx="4">
                    <c:v>Zona Oeste</c:v>
                  </c:pt>
                  <c:pt idx="9">
                    <c:v>Loja</c:v>
                  </c:pt>
                  <c:pt idx="15">
                    <c:v>Zona Sul</c:v>
                  </c:pt>
                </c:lvl>
              </c:multiLvlStrCache>
            </c:multiLvlStrRef>
          </c:cat>
          <c:val>
            <c:numRef>
              <c:f>'Análise Semana 4'!$D$56:$D$82</c:f>
              <c:numCache>
                <c:formatCode>_("R$"* #,##0.00_);_("R$"* \(#,##0.00\);_("R$"*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190</c:v>
                </c:pt>
                <c:pt idx="4">
                  <c:v>210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150</c:v>
                </c:pt>
                <c:pt idx="19">
                  <c:v>0</c:v>
                </c:pt>
                <c:pt idx="20">
                  <c:v>0</c:v>
                </c:pt>
                <c:pt idx="2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C0-49EC-87CB-63493101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96832"/>
        <c:axId val="1588497312"/>
      </c:areaChart>
      <c:barChart>
        <c:barDir val="col"/>
        <c:grouping val="clustered"/>
        <c:varyColors val="0"/>
        <c:ser>
          <c:idx val="2"/>
          <c:order val="2"/>
          <c:tx>
            <c:strRef>
              <c:f>'Análise Semana 4'!$E$55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4'!$B$56:$B$82</c:f>
              <c:multiLvlStrCache>
                <c:ptCount val="22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Chocolate</c:v>
                  </c:pt>
                  <c:pt idx="3">
                    <c:v>Suco</c:v>
                  </c:pt>
                  <c:pt idx="4">
                    <c:v>Vinho</c:v>
                  </c:pt>
                  <c:pt idx="5">
                    <c:v>Leite</c:v>
                  </c:pt>
                  <c:pt idx="6">
                    <c:v>Caixa de Fósforo</c:v>
                  </c:pt>
                  <c:pt idx="7">
                    <c:v>Tomate</c:v>
                  </c:pt>
                  <c:pt idx="8">
                    <c:v>Couve</c:v>
                  </c:pt>
                  <c:pt idx="9">
                    <c:v>Alface</c:v>
                  </c:pt>
                  <c:pt idx="10">
                    <c:v>Feijão</c:v>
                  </c:pt>
                  <c:pt idx="11">
                    <c:v>Cigarro</c:v>
                  </c:pt>
                  <c:pt idx="12">
                    <c:v>Barra de Cereal</c:v>
                  </c:pt>
                  <c:pt idx="13">
                    <c:v>Carne</c:v>
                  </c:pt>
                  <c:pt idx="14">
                    <c:v>Cerveja</c:v>
                  </c:pt>
                  <c:pt idx="15">
                    <c:v>Frango</c:v>
                  </c:pt>
                  <c:pt idx="16">
                    <c:v>Chocolate</c:v>
                  </c:pt>
                  <c:pt idx="17">
                    <c:v>Refrigerante</c:v>
                  </c:pt>
                  <c:pt idx="18">
                    <c:v>Carne</c:v>
                  </c:pt>
                  <c:pt idx="19">
                    <c:v>Arroz</c:v>
                  </c:pt>
                  <c:pt idx="20">
                    <c:v>Queijo</c:v>
                  </c:pt>
                  <c:pt idx="21">
                    <c:v>Vodka</c:v>
                  </c:pt>
                </c:lvl>
                <c:lvl>
                  <c:pt idx="0">
                    <c:v>Zona Norte</c:v>
                  </c:pt>
                  <c:pt idx="4">
                    <c:v>Zona Oeste</c:v>
                  </c:pt>
                  <c:pt idx="9">
                    <c:v>Loja</c:v>
                  </c:pt>
                  <c:pt idx="15">
                    <c:v>Zona Sul</c:v>
                  </c:pt>
                </c:lvl>
              </c:multiLvlStrCache>
            </c:multiLvlStrRef>
          </c:cat>
          <c:val>
            <c:numRef>
              <c:f>'Análise Semana 4'!$E$56:$E$82</c:f>
              <c:numCache>
                <c:formatCode>_("R$"* #,##0.00_);_("R$"* \(#,##0.00\);_("R$"* "-"??_);_(@_)</c:formatCode>
                <c:ptCount val="22"/>
                <c:pt idx="0">
                  <c:v>491.4</c:v>
                </c:pt>
                <c:pt idx="1">
                  <c:v>1045.44</c:v>
                </c:pt>
                <c:pt idx="2">
                  <c:v>817.5</c:v>
                </c:pt>
                <c:pt idx="3">
                  <c:v>1009.28</c:v>
                </c:pt>
                <c:pt idx="4">
                  <c:v>4230</c:v>
                </c:pt>
                <c:pt idx="5">
                  <c:v>1503.136</c:v>
                </c:pt>
                <c:pt idx="6">
                  <c:v>256.5</c:v>
                </c:pt>
                <c:pt idx="7">
                  <c:v>1575</c:v>
                </c:pt>
                <c:pt idx="8">
                  <c:v>1050</c:v>
                </c:pt>
                <c:pt idx="9">
                  <c:v>810.75</c:v>
                </c:pt>
                <c:pt idx="10">
                  <c:v>693.6</c:v>
                </c:pt>
                <c:pt idx="11">
                  <c:v>3017.5</c:v>
                </c:pt>
                <c:pt idx="12">
                  <c:v>540</c:v>
                </c:pt>
                <c:pt idx="13">
                  <c:v>309</c:v>
                </c:pt>
                <c:pt idx="14">
                  <c:v>110</c:v>
                </c:pt>
                <c:pt idx="15">
                  <c:v>959.904</c:v>
                </c:pt>
                <c:pt idx="16">
                  <c:v>1798.5</c:v>
                </c:pt>
                <c:pt idx="17">
                  <c:v>848</c:v>
                </c:pt>
                <c:pt idx="18">
                  <c:v>7380.5999999999995</c:v>
                </c:pt>
                <c:pt idx="19">
                  <c:v>1272</c:v>
                </c:pt>
                <c:pt idx="20">
                  <c:v>14707.2</c:v>
                </c:pt>
                <c:pt idx="21">
                  <c:v>6530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C0-49EC-87CB-63493101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8496832"/>
        <c:axId val="1588497312"/>
      </c:barChart>
      <c:lineChart>
        <c:grouping val="standard"/>
        <c:varyColors val="0"/>
        <c:ser>
          <c:idx val="0"/>
          <c:order val="0"/>
          <c:tx>
            <c:strRef>
              <c:f>'Análise Semana 4'!$C$55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4'!$B$56:$B$82</c:f>
              <c:multiLvlStrCache>
                <c:ptCount val="22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Chocolate</c:v>
                  </c:pt>
                  <c:pt idx="3">
                    <c:v>Suco</c:v>
                  </c:pt>
                  <c:pt idx="4">
                    <c:v>Vinho</c:v>
                  </c:pt>
                  <c:pt idx="5">
                    <c:v>Leite</c:v>
                  </c:pt>
                  <c:pt idx="6">
                    <c:v>Caixa de Fósforo</c:v>
                  </c:pt>
                  <c:pt idx="7">
                    <c:v>Tomate</c:v>
                  </c:pt>
                  <c:pt idx="8">
                    <c:v>Couve</c:v>
                  </c:pt>
                  <c:pt idx="9">
                    <c:v>Alface</c:v>
                  </c:pt>
                  <c:pt idx="10">
                    <c:v>Feijão</c:v>
                  </c:pt>
                  <c:pt idx="11">
                    <c:v>Cigarro</c:v>
                  </c:pt>
                  <c:pt idx="12">
                    <c:v>Barra de Cereal</c:v>
                  </c:pt>
                  <c:pt idx="13">
                    <c:v>Carne</c:v>
                  </c:pt>
                  <c:pt idx="14">
                    <c:v>Cerveja</c:v>
                  </c:pt>
                  <c:pt idx="15">
                    <c:v>Frango</c:v>
                  </c:pt>
                  <c:pt idx="16">
                    <c:v>Chocolate</c:v>
                  </c:pt>
                  <c:pt idx="17">
                    <c:v>Refrigerante</c:v>
                  </c:pt>
                  <c:pt idx="18">
                    <c:v>Carne</c:v>
                  </c:pt>
                  <c:pt idx="19">
                    <c:v>Arroz</c:v>
                  </c:pt>
                  <c:pt idx="20">
                    <c:v>Queijo</c:v>
                  </c:pt>
                  <c:pt idx="21">
                    <c:v>Vodka</c:v>
                  </c:pt>
                </c:lvl>
                <c:lvl>
                  <c:pt idx="0">
                    <c:v>Zona Norte</c:v>
                  </c:pt>
                  <c:pt idx="4">
                    <c:v>Zona Oeste</c:v>
                  </c:pt>
                  <c:pt idx="9">
                    <c:v>Loja</c:v>
                  </c:pt>
                  <c:pt idx="15">
                    <c:v>Zona Sul</c:v>
                  </c:pt>
                </c:lvl>
              </c:multiLvlStrCache>
            </c:multiLvlStrRef>
          </c:cat>
          <c:val>
            <c:numRef>
              <c:f>'Análise Semana 4'!$C$56:$C$82</c:f>
              <c:numCache>
                <c:formatCode>General</c:formatCode>
                <c:ptCount val="22"/>
                <c:pt idx="0">
                  <c:v>156</c:v>
                </c:pt>
                <c:pt idx="1">
                  <c:v>110</c:v>
                </c:pt>
                <c:pt idx="2">
                  <c:v>150</c:v>
                </c:pt>
                <c:pt idx="3">
                  <c:v>220</c:v>
                </c:pt>
                <c:pt idx="4">
                  <c:v>120</c:v>
                </c:pt>
                <c:pt idx="5">
                  <c:v>370</c:v>
                </c:pt>
                <c:pt idx="6">
                  <c:v>270</c:v>
                </c:pt>
                <c:pt idx="7">
                  <c:v>250</c:v>
                </c:pt>
                <c:pt idx="8">
                  <c:v>300</c:v>
                </c:pt>
                <c:pt idx="9">
                  <c:v>235</c:v>
                </c:pt>
                <c:pt idx="10">
                  <c:v>102</c:v>
                </c:pt>
                <c:pt idx="11">
                  <c:v>500</c:v>
                </c:pt>
                <c:pt idx="12">
                  <c:v>400</c:v>
                </c:pt>
                <c:pt idx="13">
                  <c:v>10</c:v>
                </c:pt>
                <c:pt idx="14">
                  <c:v>40</c:v>
                </c:pt>
                <c:pt idx="15">
                  <c:v>101</c:v>
                </c:pt>
                <c:pt idx="16">
                  <c:v>330</c:v>
                </c:pt>
                <c:pt idx="17">
                  <c:v>320</c:v>
                </c:pt>
                <c:pt idx="18">
                  <c:v>234</c:v>
                </c:pt>
                <c:pt idx="19">
                  <c:v>240</c:v>
                </c:pt>
                <c:pt idx="20">
                  <c:v>462</c:v>
                </c:pt>
                <c:pt idx="21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C0-49EC-87CB-63493101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1920992"/>
        <c:axId val="851927232"/>
      </c:lineChart>
      <c:catAx>
        <c:axId val="158849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97312"/>
        <c:crosses val="autoZero"/>
        <c:auto val="1"/>
        <c:lblAlgn val="ctr"/>
        <c:lblOffset val="100"/>
        <c:noMultiLvlLbl val="0"/>
      </c:catAx>
      <c:valAx>
        <c:axId val="1588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96832"/>
        <c:crosses val="autoZero"/>
        <c:crossBetween val="between"/>
      </c:valAx>
      <c:valAx>
        <c:axId val="851927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920992"/>
        <c:crosses val="max"/>
        <c:crossBetween val="between"/>
      </c:valAx>
      <c:catAx>
        <c:axId val="851920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1927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378900839364178"/>
          <c:y val="0.49749591710633007"/>
          <c:w val="0.15876944479830793"/>
          <c:h val="0.162935123046029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5!Tabela dinâmica1</c:name>
    <c:fmtId val="0"/>
  </c:pivotSource>
  <c:chart>
    <c:autoTitleDeleted val="0"/>
    <c:pivotFmts>
      <c:pivotFmt>
        <c:idx val="0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'Análise Semana 5'!$D$4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5'!$B$5:$B$37</c:f>
              <c:multiLvlStrCache>
                <c:ptCount val="25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Cerveja</c:v>
                  </c:pt>
                  <c:pt idx="3">
                    <c:v>Suco</c:v>
                  </c:pt>
                  <c:pt idx="4">
                    <c:v>Cerveja</c:v>
                  </c:pt>
                  <c:pt idx="5">
                    <c:v>Couve</c:v>
                  </c:pt>
                  <c:pt idx="6">
                    <c:v>Vagem</c:v>
                  </c:pt>
                  <c:pt idx="7">
                    <c:v>Barra de Cereal</c:v>
                  </c:pt>
                  <c:pt idx="8">
                    <c:v>Cigarro</c:v>
                  </c:pt>
                  <c:pt idx="9">
                    <c:v>Refrigerante</c:v>
                  </c:pt>
                  <c:pt idx="10">
                    <c:v>Pão de Forma</c:v>
                  </c:pt>
                  <c:pt idx="11">
                    <c:v>Leite</c:v>
                  </c:pt>
                  <c:pt idx="12">
                    <c:v>Carne</c:v>
                  </c:pt>
                  <c:pt idx="13">
                    <c:v>Suco</c:v>
                  </c:pt>
                  <c:pt idx="14">
                    <c:v>Cigarro</c:v>
                  </c:pt>
                  <c:pt idx="15">
                    <c:v>Refrigerante</c:v>
                  </c:pt>
                  <c:pt idx="16">
                    <c:v>Arroz</c:v>
                  </c:pt>
                  <c:pt idx="17">
                    <c:v>Leite</c:v>
                  </c:pt>
                  <c:pt idx="18">
                    <c:v>Feijão</c:v>
                  </c:pt>
                  <c:pt idx="19">
                    <c:v>Bala</c:v>
                  </c:pt>
                  <c:pt idx="20">
                    <c:v>Barra de Cereal</c:v>
                  </c:pt>
                  <c:pt idx="21">
                    <c:v>Carne</c:v>
                  </c:pt>
                  <c:pt idx="22">
                    <c:v>Queijo</c:v>
                  </c:pt>
                  <c:pt idx="23">
                    <c:v>Vinho</c:v>
                  </c:pt>
                  <c:pt idx="24">
                    <c:v>Vodka</c:v>
                  </c:pt>
                </c:lvl>
                <c:lvl>
                  <c:pt idx="0">
                    <c:v>31/08/2025</c:v>
                  </c:pt>
                  <c:pt idx="4">
                    <c:v>30/08/2025</c:v>
                  </c:pt>
                  <c:pt idx="6">
                    <c:v>29/08/2025</c:v>
                  </c:pt>
                  <c:pt idx="10">
                    <c:v>28/08/2025</c:v>
                  </c:pt>
                  <c:pt idx="13">
                    <c:v>27/08/2025</c:v>
                  </c:pt>
                  <c:pt idx="17">
                    <c:v>26/08/2025</c:v>
                  </c:pt>
                  <c:pt idx="20">
                    <c:v>25/08/2025</c:v>
                  </c:pt>
                </c:lvl>
              </c:multiLvlStrCache>
            </c:multiLvlStrRef>
          </c:cat>
          <c:val>
            <c:numRef>
              <c:f>'Análise Semana 5'!$D$5:$D$37</c:f>
              <c:numCache>
                <c:formatCode>_("R$"* #,##0.00_);_("R$"* \(#,##0.00\);_("R$"* "-"??_);_(@_)</c:formatCode>
                <c:ptCount val="25"/>
                <c:pt idx="0">
                  <c:v>378</c:v>
                </c:pt>
                <c:pt idx="1">
                  <c:v>1710.72</c:v>
                </c:pt>
                <c:pt idx="2">
                  <c:v>1540</c:v>
                </c:pt>
                <c:pt idx="3">
                  <c:v>1064</c:v>
                </c:pt>
                <c:pt idx="4">
                  <c:v>1381.05</c:v>
                </c:pt>
                <c:pt idx="5">
                  <c:v>710</c:v>
                </c:pt>
                <c:pt idx="6">
                  <c:v>2125.2000000000003</c:v>
                </c:pt>
                <c:pt idx="7">
                  <c:v>189</c:v>
                </c:pt>
                <c:pt idx="8">
                  <c:v>1491</c:v>
                </c:pt>
                <c:pt idx="9">
                  <c:v>554.5</c:v>
                </c:pt>
                <c:pt idx="10">
                  <c:v>94.5</c:v>
                </c:pt>
                <c:pt idx="11">
                  <c:v>109.74999999999999</c:v>
                </c:pt>
                <c:pt idx="12">
                  <c:v>454.23</c:v>
                </c:pt>
                <c:pt idx="13">
                  <c:v>1216</c:v>
                </c:pt>
                <c:pt idx="14">
                  <c:v>841.94999999999993</c:v>
                </c:pt>
                <c:pt idx="15">
                  <c:v>821.5</c:v>
                </c:pt>
                <c:pt idx="16">
                  <c:v>689</c:v>
                </c:pt>
                <c:pt idx="17">
                  <c:v>570.69999999999993</c:v>
                </c:pt>
                <c:pt idx="18">
                  <c:v>1360</c:v>
                </c:pt>
                <c:pt idx="19">
                  <c:v>795</c:v>
                </c:pt>
                <c:pt idx="20">
                  <c:v>378</c:v>
                </c:pt>
                <c:pt idx="21">
                  <c:v>6893.79</c:v>
                </c:pt>
                <c:pt idx="22">
                  <c:v>4480</c:v>
                </c:pt>
                <c:pt idx="23">
                  <c:v>4187.5</c:v>
                </c:pt>
                <c:pt idx="24">
                  <c:v>11004.96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E-4B4A-AECC-0EED32E47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5036048"/>
        <c:axId val="1585032688"/>
      </c:barChart>
      <c:lineChart>
        <c:grouping val="standard"/>
        <c:varyColors val="0"/>
        <c:ser>
          <c:idx val="0"/>
          <c:order val="0"/>
          <c:tx>
            <c:strRef>
              <c:f>'Análise Semana 5'!$C$4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5'!$B$5:$B$37</c:f>
              <c:multiLvlStrCache>
                <c:ptCount val="25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Cerveja</c:v>
                  </c:pt>
                  <c:pt idx="3">
                    <c:v>Suco</c:v>
                  </c:pt>
                  <c:pt idx="4">
                    <c:v>Cerveja</c:v>
                  </c:pt>
                  <c:pt idx="5">
                    <c:v>Couve</c:v>
                  </c:pt>
                  <c:pt idx="6">
                    <c:v>Vagem</c:v>
                  </c:pt>
                  <c:pt idx="7">
                    <c:v>Barra de Cereal</c:v>
                  </c:pt>
                  <c:pt idx="8">
                    <c:v>Cigarro</c:v>
                  </c:pt>
                  <c:pt idx="9">
                    <c:v>Refrigerante</c:v>
                  </c:pt>
                  <c:pt idx="10">
                    <c:v>Pão de Forma</c:v>
                  </c:pt>
                  <c:pt idx="11">
                    <c:v>Leite</c:v>
                  </c:pt>
                  <c:pt idx="12">
                    <c:v>Carne</c:v>
                  </c:pt>
                  <c:pt idx="13">
                    <c:v>Suco</c:v>
                  </c:pt>
                  <c:pt idx="14">
                    <c:v>Cigarro</c:v>
                  </c:pt>
                  <c:pt idx="15">
                    <c:v>Refrigerante</c:v>
                  </c:pt>
                  <c:pt idx="16">
                    <c:v>Arroz</c:v>
                  </c:pt>
                  <c:pt idx="17">
                    <c:v>Leite</c:v>
                  </c:pt>
                  <c:pt idx="18">
                    <c:v>Feijão</c:v>
                  </c:pt>
                  <c:pt idx="19">
                    <c:v>Bala</c:v>
                  </c:pt>
                  <c:pt idx="20">
                    <c:v>Barra de Cereal</c:v>
                  </c:pt>
                  <c:pt idx="21">
                    <c:v>Carne</c:v>
                  </c:pt>
                  <c:pt idx="22">
                    <c:v>Queijo</c:v>
                  </c:pt>
                  <c:pt idx="23">
                    <c:v>Vinho</c:v>
                  </c:pt>
                  <c:pt idx="24">
                    <c:v>Vodka</c:v>
                  </c:pt>
                </c:lvl>
                <c:lvl>
                  <c:pt idx="0">
                    <c:v>31/08/2025</c:v>
                  </c:pt>
                  <c:pt idx="4">
                    <c:v>30/08/2025</c:v>
                  </c:pt>
                  <c:pt idx="6">
                    <c:v>29/08/2025</c:v>
                  </c:pt>
                  <c:pt idx="10">
                    <c:v>28/08/2025</c:v>
                  </c:pt>
                  <c:pt idx="13">
                    <c:v>27/08/2025</c:v>
                  </c:pt>
                  <c:pt idx="17">
                    <c:v>26/08/2025</c:v>
                  </c:pt>
                  <c:pt idx="20">
                    <c:v>25/08/2025</c:v>
                  </c:pt>
                </c:lvl>
              </c:multiLvlStrCache>
            </c:multiLvlStrRef>
          </c:cat>
          <c:val>
            <c:numRef>
              <c:f>'Análise Semana 5'!$C$5:$C$37</c:f>
              <c:numCache>
                <c:formatCode>General</c:formatCode>
                <c:ptCount val="25"/>
                <c:pt idx="0">
                  <c:v>120</c:v>
                </c:pt>
                <c:pt idx="1">
                  <c:v>180</c:v>
                </c:pt>
                <c:pt idx="2">
                  <c:v>560</c:v>
                </c:pt>
                <c:pt idx="3">
                  <c:v>230</c:v>
                </c:pt>
                <c:pt idx="4">
                  <c:v>540</c:v>
                </c:pt>
                <c:pt idx="5">
                  <c:v>200</c:v>
                </c:pt>
                <c:pt idx="6">
                  <c:v>220</c:v>
                </c:pt>
                <c:pt idx="7">
                  <c:v>140</c:v>
                </c:pt>
                <c:pt idx="8">
                  <c:v>210</c:v>
                </c:pt>
                <c:pt idx="9">
                  <c:v>130</c:v>
                </c:pt>
                <c:pt idx="10">
                  <c:v>30</c:v>
                </c:pt>
                <c:pt idx="11">
                  <c:v>25</c:v>
                </c:pt>
                <c:pt idx="12">
                  <c:v>15</c:v>
                </c:pt>
                <c:pt idx="13">
                  <c:v>320</c:v>
                </c:pt>
                <c:pt idx="14">
                  <c:v>110</c:v>
                </c:pt>
                <c:pt idx="15">
                  <c:v>310</c:v>
                </c:pt>
                <c:pt idx="16">
                  <c:v>130</c:v>
                </c:pt>
                <c:pt idx="17">
                  <c:v>130</c:v>
                </c:pt>
                <c:pt idx="18">
                  <c:v>200</c:v>
                </c:pt>
                <c:pt idx="19">
                  <c:v>300</c:v>
                </c:pt>
                <c:pt idx="20">
                  <c:v>280</c:v>
                </c:pt>
                <c:pt idx="21">
                  <c:v>230</c:v>
                </c:pt>
                <c:pt idx="22">
                  <c:v>140</c:v>
                </c:pt>
                <c:pt idx="23">
                  <c:v>125</c:v>
                </c:pt>
                <c:pt idx="24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E-4B4A-AECC-0EED32E47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8501632"/>
        <c:axId val="1588507392"/>
      </c:lineChart>
      <c:catAx>
        <c:axId val="158503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032688"/>
        <c:crosses val="autoZero"/>
        <c:auto val="1"/>
        <c:lblAlgn val="ctr"/>
        <c:lblOffset val="100"/>
        <c:noMultiLvlLbl val="0"/>
      </c:catAx>
      <c:valAx>
        <c:axId val="158503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036048"/>
        <c:crosses val="autoZero"/>
        <c:crossBetween val="between"/>
      </c:valAx>
      <c:valAx>
        <c:axId val="1588507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501632"/>
        <c:crosses val="max"/>
        <c:crossBetween val="between"/>
      </c:valAx>
      <c:catAx>
        <c:axId val="158850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8507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51178962146957"/>
          <c:y val="0.51010296021882173"/>
          <c:w val="0.13680960258199029"/>
          <c:h val="0.100361456609738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[Projeto_Atacarejo_PedroEvaristo.xlsm]Análise Semana 5!Tabela dinâmica2</c:name>
    <c:fmtId val="0"/>
  </c:pivotSource>
  <c:chart>
    <c:autoTitleDeleted val="0"/>
    <c:pivotFmts>
      <c:pivotFmt>
        <c:idx val="0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'Análise Semana 5'!$D$56</c:f>
              <c:strCache>
                <c:ptCount val="1"/>
                <c:pt idx="0">
                  <c:v>Soma de Taxa de Entrega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multiLvlStrRef>
              <c:f>'Análise Semana 5'!$B$57:$B$86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Cerveja</c:v>
                  </c:pt>
                  <c:pt idx="3">
                    <c:v>Suco</c:v>
                  </c:pt>
                  <c:pt idx="4">
                    <c:v>Vagem</c:v>
                  </c:pt>
                  <c:pt idx="5">
                    <c:v>Barra de Cereal</c:v>
                  </c:pt>
                  <c:pt idx="6">
                    <c:v>Cigarro</c:v>
                  </c:pt>
                  <c:pt idx="7">
                    <c:v>Refrigerante</c:v>
                  </c:pt>
                  <c:pt idx="8">
                    <c:v>Carne</c:v>
                  </c:pt>
                  <c:pt idx="9">
                    <c:v>Queijo</c:v>
                  </c:pt>
                  <c:pt idx="10">
                    <c:v>Vinho</c:v>
                  </c:pt>
                  <c:pt idx="11">
                    <c:v>Vodka</c:v>
                  </c:pt>
                  <c:pt idx="12">
                    <c:v>Cerveja</c:v>
                  </c:pt>
                  <c:pt idx="13">
                    <c:v>Couve</c:v>
                  </c:pt>
                  <c:pt idx="14">
                    <c:v>Leite</c:v>
                  </c:pt>
                  <c:pt idx="15">
                    <c:v>Feijão</c:v>
                  </c:pt>
                  <c:pt idx="16">
                    <c:v>Bala</c:v>
                  </c:pt>
                  <c:pt idx="17">
                    <c:v>Pão de Forma</c:v>
                  </c:pt>
                  <c:pt idx="18">
                    <c:v>Leite</c:v>
                  </c:pt>
                  <c:pt idx="19">
                    <c:v>Carne</c:v>
                  </c:pt>
                  <c:pt idx="20">
                    <c:v>Suco</c:v>
                  </c:pt>
                  <c:pt idx="21">
                    <c:v>Cigarro</c:v>
                  </c:pt>
                  <c:pt idx="22">
                    <c:v>Refrigerante</c:v>
                  </c:pt>
                  <c:pt idx="23">
                    <c:v>Arroz</c:v>
                  </c:pt>
                </c:lvl>
                <c:lvl>
                  <c:pt idx="0">
                    <c:v>Zona Norte</c:v>
                  </c:pt>
                  <c:pt idx="4">
                    <c:v>Zona Oeste</c:v>
                  </c:pt>
                  <c:pt idx="12">
                    <c:v>Zona Sul</c:v>
                  </c:pt>
                  <c:pt idx="17">
                    <c:v>Loja</c:v>
                  </c:pt>
                  <c:pt idx="20">
                    <c:v>Centro</c:v>
                  </c:pt>
                </c:lvl>
              </c:multiLvlStrCache>
            </c:multiLvlStrRef>
          </c:cat>
          <c:val>
            <c:numRef>
              <c:f>'Análise Semana 5'!$D$57:$D$86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210</c:v>
                </c:pt>
                <c:pt idx="12">
                  <c:v>0</c:v>
                </c:pt>
                <c:pt idx="13">
                  <c:v>150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100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3A-4B37-ACBE-1084E95E4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726688"/>
        <c:axId val="1384737728"/>
      </c:areaChart>
      <c:barChart>
        <c:barDir val="col"/>
        <c:grouping val="clustered"/>
        <c:varyColors val="0"/>
        <c:ser>
          <c:idx val="2"/>
          <c:order val="2"/>
          <c:tx>
            <c:strRef>
              <c:f>'Análise Semana 5'!$E$56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'Análise Semana 5'!$B$57:$B$86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Cerveja</c:v>
                  </c:pt>
                  <c:pt idx="3">
                    <c:v>Suco</c:v>
                  </c:pt>
                  <c:pt idx="4">
                    <c:v>Vagem</c:v>
                  </c:pt>
                  <c:pt idx="5">
                    <c:v>Barra de Cereal</c:v>
                  </c:pt>
                  <c:pt idx="6">
                    <c:v>Cigarro</c:v>
                  </c:pt>
                  <c:pt idx="7">
                    <c:v>Refrigerante</c:v>
                  </c:pt>
                  <c:pt idx="8">
                    <c:v>Carne</c:v>
                  </c:pt>
                  <c:pt idx="9">
                    <c:v>Queijo</c:v>
                  </c:pt>
                  <c:pt idx="10">
                    <c:v>Vinho</c:v>
                  </c:pt>
                  <c:pt idx="11">
                    <c:v>Vodka</c:v>
                  </c:pt>
                  <c:pt idx="12">
                    <c:v>Cerveja</c:v>
                  </c:pt>
                  <c:pt idx="13">
                    <c:v>Couve</c:v>
                  </c:pt>
                  <c:pt idx="14">
                    <c:v>Leite</c:v>
                  </c:pt>
                  <c:pt idx="15">
                    <c:v>Feijão</c:v>
                  </c:pt>
                  <c:pt idx="16">
                    <c:v>Bala</c:v>
                  </c:pt>
                  <c:pt idx="17">
                    <c:v>Pão de Forma</c:v>
                  </c:pt>
                  <c:pt idx="18">
                    <c:v>Leite</c:v>
                  </c:pt>
                  <c:pt idx="19">
                    <c:v>Carne</c:v>
                  </c:pt>
                  <c:pt idx="20">
                    <c:v>Suco</c:v>
                  </c:pt>
                  <c:pt idx="21">
                    <c:v>Cigarro</c:v>
                  </c:pt>
                  <c:pt idx="22">
                    <c:v>Refrigerante</c:v>
                  </c:pt>
                  <c:pt idx="23">
                    <c:v>Arroz</c:v>
                  </c:pt>
                </c:lvl>
                <c:lvl>
                  <c:pt idx="0">
                    <c:v>Zona Norte</c:v>
                  </c:pt>
                  <c:pt idx="4">
                    <c:v>Zona Oeste</c:v>
                  </c:pt>
                  <c:pt idx="12">
                    <c:v>Zona Sul</c:v>
                  </c:pt>
                  <c:pt idx="17">
                    <c:v>Loja</c:v>
                  </c:pt>
                  <c:pt idx="20">
                    <c:v>Centro</c:v>
                  </c:pt>
                </c:lvl>
              </c:multiLvlStrCache>
            </c:multiLvlStrRef>
          </c:cat>
          <c:val>
            <c:numRef>
              <c:f>'Análise Semana 5'!$E$57:$E$86</c:f>
              <c:numCache>
                <c:formatCode>_("R$"* #,##0.00_);_("R$"* \(#,##0.00\);_("R$"* "-"??_);_(@_)</c:formatCode>
                <c:ptCount val="24"/>
                <c:pt idx="0">
                  <c:v>378</c:v>
                </c:pt>
                <c:pt idx="1">
                  <c:v>1710.72</c:v>
                </c:pt>
                <c:pt idx="2">
                  <c:v>1540</c:v>
                </c:pt>
                <c:pt idx="3">
                  <c:v>1064</c:v>
                </c:pt>
                <c:pt idx="4">
                  <c:v>2125.2000000000003</c:v>
                </c:pt>
                <c:pt idx="5">
                  <c:v>567</c:v>
                </c:pt>
                <c:pt idx="6">
                  <c:v>1491</c:v>
                </c:pt>
                <c:pt idx="7">
                  <c:v>554.5</c:v>
                </c:pt>
                <c:pt idx="8">
                  <c:v>6893.79</c:v>
                </c:pt>
                <c:pt idx="9">
                  <c:v>4480</c:v>
                </c:pt>
                <c:pt idx="10">
                  <c:v>4187.5</c:v>
                </c:pt>
                <c:pt idx="11">
                  <c:v>11004.96</c:v>
                </c:pt>
                <c:pt idx="12">
                  <c:v>1381.05</c:v>
                </c:pt>
                <c:pt idx="13">
                  <c:v>710</c:v>
                </c:pt>
                <c:pt idx="14">
                  <c:v>570.69999999999993</c:v>
                </c:pt>
                <c:pt idx="15">
                  <c:v>1360</c:v>
                </c:pt>
                <c:pt idx="16">
                  <c:v>795</c:v>
                </c:pt>
                <c:pt idx="17">
                  <c:v>94.5</c:v>
                </c:pt>
                <c:pt idx="18">
                  <c:v>109.74999999999999</c:v>
                </c:pt>
                <c:pt idx="19">
                  <c:v>454.23</c:v>
                </c:pt>
                <c:pt idx="20">
                  <c:v>1216</c:v>
                </c:pt>
                <c:pt idx="21">
                  <c:v>841.94999999999993</c:v>
                </c:pt>
                <c:pt idx="22">
                  <c:v>821.5</c:v>
                </c:pt>
                <c:pt idx="23">
                  <c:v>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3A-4B37-ACBE-1084E95E4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4726688"/>
        <c:axId val="1384737728"/>
      </c:barChart>
      <c:lineChart>
        <c:grouping val="standard"/>
        <c:varyColors val="0"/>
        <c:ser>
          <c:idx val="0"/>
          <c:order val="0"/>
          <c:tx>
            <c:strRef>
              <c:f>'Análise Semana 5'!$C$56</c:f>
              <c:strCache>
                <c:ptCount val="1"/>
                <c:pt idx="0">
                  <c:v>Soma de Quantidade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'Análise Semana 5'!$B$57:$B$86</c:f>
              <c:multiLvlStrCache>
                <c:ptCount val="24"/>
                <c:lvl>
                  <c:pt idx="0">
                    <c:v>Pão de Forma</c:v>
                  </c:pt>
                  <c:pt idx="1">
                    <c:v>Frango</c:v>
                  </c:pt>
                  <c:pt idx="2">
                    <c:v>Cerveja</c:v>
                  </c:pt>
                  <c:pt idx="3">
                    <c:v>Suco</c:v>
                  </c:pt>
                  <c:pt idx="4">
                    <c:v>Vagem</c:v>
                  </c:pt>
                  <c:pt idx="5">
                    <c:v>Barra de Cereal</c:v>
                  </c:pt>
                  <c:pt idx="6">
                    <c:v>Cigarro</c:v>
                  </c:pt>
                  <c:pt idx="7">
                    <c:v>Refrigerante</c:v>
                  </c:pt>
                  <c:pt idx="8">
                    <c:v>Carne</c:v>
                  </c:pt>
                  <c:pt idx="9">
                    <c:v>Queijo</c:v>
                  </c:pt>
                  <c:pt idx="10">
                    <c:v>Vinho</c:v>
                  </c:pt>
                  <c:pt idx="11">
                    <c:v>Vodka</c:v>
                  </c:pt>
                  <c:pt idx="12">
                    <c:v>Cerveja</c:v>
                  </c:pt>
                  <c:pt idx="13">
                    <c:v>Couve</c:v>
                  </c:pt>
                  <c:pt idx="14">
                    <c:v>Leite</c:v>
                  </c:pt>
                  <c:pt idx="15">
                    <c:v>Feijão</c:v>
                  </c:pt>
                  <c:pt idx="16">
                    <c:v>Bala</c:v>
                  </c:pt>
                  <c:pt idx="17">
                    <c:v>Pão de Forma</c:v>
                  </c:pt>
                  <c:pt idx="18">
                    <c:v>Leite</c:v>
                  </c:pt>
                  <c:pt idx="19">
                    <c:v>Carne</c:v>
                  </c:pt>
                  <c:pt idx="20">
                    <c:v>Suco</c:v>
                  </c:pt>
                  <c:pt idx="21">
                    <c:v>Cigarro</c:v>
                  </c:pt>
                  <c:pt idx="22">
                    <c:v>Refrigerante</c:v>
                  </c:pt>
                  <c:pt idx="23">
                    <c:v>Arroz</c:v>
                  </c:pt>
                </c:lvl>
                <c:lvl>
                  <c:pt idx="0">
                    <c:v>Zona Norte</c:v>
                  </c:pt>
                  <c:pt idx="4">
                    <c:v>Zona Oeste</c:v>
                  </c:pt>
                  <c:pt idx="12">
                    <c:v>Zona Sul</c:v>
                  </c:pt>
                  <c:pt idx="17">
                    <c:v>Loja</c:v>
                  </c:pt>
                  <c:pt idx="20">
                    <c:v>Centro</c:v>
                  </c:pt>
                </c:lvl>
              </c:multiLvlStrCache>
            </c:multiLvlStrRef>
          </c:cat>
          <c:val>
            <c:numRef>
              <c:f>'Análise Semana 5'!$C$57:$C$86</c:f>
              <c:numCache>
                <c:formatCode>General</c:formatCode>
                <c:ptCount val="24"/>
                <c:pt idx="0">
                  <c:v>120</c:v>
                </c:pt>
                <c:pt idx="1">
                  <c:v>180</c:v>
                </c:pt>
                <c:pt idx="2">
                  <c:v>560</c:v>
                </c:pt>
                <c:pt idx="3">
                  <c:v>230</c:v>
                </c:pt>
                <c:pt idx="4">
                  <c:v>220</c:v>
                </c:pt>
                <c:pt idx="5">
                  <c:v>420</c:v>
                </c:pt>
                <c:pt idx="6">
                  <c:v>210</c:v>
                </c:pt>
                <c:pt idx="7">
                  <c:v>130</c:v>
                </c:pt>
                <c:pt idx="8">
                  <c:v>230</c:v>
                </c:pt>
                <c:pt idx="9">
                  <c:v>140</c:v>
                </c:pt>
                <c:pt idx="10">
                  <c:v>125</c:v>
                </c:pt>
                <c:pt idx="11">
                  <c:v>188</c:v>
                </c:pt>
                <c:pt idx="12">
                  <c:v>540</c:v>
                </c:pt>
                <c:pt idx="13">
                  <c:v>200</c:v>
                </c:pt>
                <c:pt idx="14">
                  <c:v>130</c:v>
                </c:pt>
                <c:pt idx="15">
                  <c:v>200</c:v>
                </c:pt>
                <c:pt idx="16">
                  <c:v>300</c:v>
                </c:pt>
                <c:pt idx="17">
                  <c:v>30</c:v>
                </c:pt>
                <c:pt idx="18">
                  <c:v>25</c:v>
                </c:pt>
                <c:pt idx="19">
                  <c:v>15</c:v>
                </c:pt>
                <c:pt idx="20">
                  <c:v>320</c:v>
                </c:pt>
                <c:pt idx="21">
                  <c:v>110</c:v>
                </c:pt>
                <c:pt idx="22">
                  <c:v>310</c:v>
                </c:pt>
                <c:pt idx="23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3A-4B37-ACBE-1084E95E4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3125408"/>
        <c:axId val="1393126848"/>
      </c:lineChart>
      <c:catAx>
        <c:axId val="138472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737728"/>
        <c:crosses val="autoZero"/>
        <c:auto val="1"/>
        <c:lblAlgn val="ctr"/>
        <c:lblOffset val="100"/>
        <c:noMultiLvlLbl val="0"/>
      </c:catAx>
      <c:valAx>
        <c:axId val="13847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726688"/>
        <c:crosses val="autoZero"/>
        <c:crossBetween val="between"/>
      </c:valAx>
      <c:valAx>
        <c:axId val="1393126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25408"/>
        <c:crosses val="max"/>
        <c:crossBetween val="between"/>
      </c:valAx>
      <c:catAx>
        <c:axId val="1393125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9312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565601878293371"/>
          <c:y val="0.4599577770170033"/>
          <c:w val="0.15774100765963397"/>
          <c:h val="0.149300963954332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mpras Mercadorias'!A1"/><Relationship Id="rId7" Type="http://schemas.openxmlformats.org/officeDocument/2006/relationships/hyperlink" Target="#'Vendas do M&#234;s'!A1"/><Relationship Id="rId2" Type="http://schemas.openxmlformats.org/officeDocument/2006/relationships/hyperlink" Target="#'Despesas '!A1"/><Relationship Id="rId1" Type="http://schemas.openxmlformats.org/officeDocument/2006/relationships/image" Target="../media/image1.jpe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'Compras Mercadorias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espesas '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endas do M&#234;s'!A1"/><Relationship Id="rId2" Type="http://schemas.openxmlformats.org/officeDocument/2006/relationships/hyperlink" Target="#'Compras Mercadorias'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endas do M&#234;s'!A1"/><Relationship Id="rId2" Type="http://schemas.openxmlformats.org/officeDocument/2006/relationships/hyperlink" Target="#'Despesas '!A1"/><Relationship Id="rId1" Type="http://schemas.openxmlformats.org/officeDocument/2006/relationships/hyperlink" Target="#Menu!A1"/><Relationship Id="rId4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4.xml"/><Relationship Id="rId7" Type="http://schemas.openxmlformats.org/officeDocument/2006/relationships/hyperlink" Target="#'Semana 1'!A1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hyperlink" Target="#Resultados!A1"/><Relationship Id="rId11" Type="http://schemas.openxmlformats.org/officeDocument/2006/relationships/hyperlink" Target="#'Semana 5'!A1"/><Relationship Id="rId5" Type="http://schemas.openxmlformats.org/officeDocument/2006/relationships/hyperlink" Target="#'Vendas do M&#234;s'!B69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Vendas do M&#234;s'!A1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hyperlink" Target="#'Semana 1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Vendas do M&#234;s'!A1"/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hyperlink" Target="#'Semana 2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Vendas do M&#234;s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hyperlink" Target="#'Semana 3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Vendas do M&#234;s'!A1"/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hyperlink" Target="#'Semana 4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'Vendas do M&#234;s'!A1"/><Relationship Id="rId1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29</xdr:row>
      <xdr:rowOff>22860</xdr:rowOff>
    </xdr:from>
    <xdr:to>
      <xdr:col>2</xdr:col>
      <xdr:colOff>861060</xdr:colOff>
      <xdr:row>29</xdr:row>
      <xdr:rowOff>175260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077F2C1-90D6-4DCB-92AA-220D19C3CA41}"/>
            </a:ext>
          </a:extLst>
        </xdr:cNvPr>
        <xdr:cNvSpPr/>
      </xdr:nvSpPr>
      <xdr:spPr>
        <a:xfrm>
          <a:off x="1775460" y="3589020"/>
          <a:ext cx="464820" cy="152400"/>
        </a:xfrm>
        <a:prstGeom prst="rightArrow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403860</xdr:colOff>
      <xdr:row>25</xdr:row>
      <xdr:rowOff>30480</xdr:rowOff>
    </xdr:from>
    <xdr:to>
      <xdr:col>2</xdr:col>
      <xdr:colOff>868680</xdr:colOff>
      <xdr:row>25</xdr:row>
      <xdr:rowOff>182880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FCECB428-7136-4C7E-B10A-B85D63067711}"/>
            </a:ext>
          </a:extLst>
        </xdr:cNvPr>
        <xdr:cNvSpPr/>
      </xdr:nvSpPr>
      <xdr:spPr>
        <a:xfrm>
          <a:off x="1783080" y="3939540"/>
          <a:ext cx="464820" cy="152400"/>
        </a:xfrm>
        <a:prstGeom prst="rightArrow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403860</xdr:colOff>
      <xdr:row>19</xdr:row>
      <xdr:rowOff>38100</xdr:rowOff>
    </xdr:from>
    <xdr:to>
      <xdr:col>2</xdr:col>
      <xdr:colOff>868680</xdr:colOff>
      <xdr:row>19</xdr:row>
      <xdr:rowOff>190500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9C5F0A93-0FBE-46AE-AF4A-2F7E14EE3CCA}"/>
            </a:ext>
          </a:extLst>
        </xdr:cNvPr>
        <xdr:cNvSpPr/>
      </xdr:nvSpPr>
      <xdr:spPr>
        <a:xfrm>
          <a:off x="1783080" y="3223260"/>
          <a:ext cx="464820" cy="152400"/>
        </a:xfrm>
        <a:prstGeom prst="rightArrow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403860</xdr:colOff>
      <xdr:row>21</xdr:row>
      <xdr:rowOff>30480</xdr:rowOff>
    </xdr:from>
    <xdr:to>
      <xdr:col>2</xdr:col>
      <xdr:colOff>868680</xdr:colOff>
      <xdr:row>21</xdr:row>
      <xdr:rowOff>182880</xdr:rowOff>
    </xdr:to>
    <xdr:sp macro="" textlink="">
      <xdr:nvSpPr>
        <xdr:cNvPr id="8" name="Seta: para a Direita 7">
          <a:extLst>
            <a:ext uri="{FF2B5EF4-FFF2-40B4-BE49-F238E27FC236}">
              <a16:creationId xmlns:a16="http://schemas.microsoft.com/office/drawing/2014/main" id="{769B1B35-203A-4616-84FA-F3B5B9372724}"/>
            </a:ext>
          </a:extLst>
        </xdr:cNvPr>
        <xdr:cNvSpPr/>
      </xdr:nvSpPr>
      <xdr:spPr>
        <a:xfrm>
          <a:off x="1783080" y="3558540"/>
          <a:ext cx="464820" cy="152400"/>
        </a:xfrm>
        <a:prstGeom prst="rightArrow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396240</xdr:colOff>
      <xdr:row>27</xdr:row>
      <xdr:rowOff>22860</xdr:rowOff>
    </xdr:from>
    <xdr:to>
      <xdr:col>2</xdr:col>
      <xdr:colOff>861060</xdr:colOff>
      <xdr:row>27</xdr:row>
      <xdr:rowOff>175260</xdr:rowOff>
    </xdr:to>
    <xdr:sp macro="" textlink="">
      <xdr:nvSpPr>
        <xdr:cNvPr id="9" name="Seta: para a Direita 8">
          <a:extLst>
            <a:ext uri="{FF2B5EF4-FFF2-40B4-BE49-F238E27FC236}">
              <a16:creationId xmlns:a16="http://schemas.microsoft.com/office/drawing/2014/main" id="{BB8C5C7E-A900-4E6E-B3E9-883A22A026CF}"/>
            </a:ext>
          </a:extLst>
        </xdr:cNvPr>
        <xdr:cNvSpPr/>
      </xdr:nvSpPr>
      <xdr:spPr>
        <a:xfrm>
          <a:off x="1775460" y="4312920"/>
          <a:ext cx="464820" cy="152400"/>
        </a:xfrm>
        <a:prstGeom prst="rightArrow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403860</xdr:colOff>
      <xdr:row>31</xdr:row>
      <xdr:rowOff>7620</xdr:rowOff>
    </xdr:from>
    <xdr:to>
      <xdr:col>2</xdr:col>
      <xdr:colOff>868680</xdr:colOff>
      <xdr:row>31</xdr:row>
      <xdr:rowOff>160020</xdr:rowOff>
    </xdr:to>
    <xdr:sp macro="" textlink="">
      <xdr:nvSpPr>
        <xdr:cNvPr id="10" name="Seta: para a Direita 9">
          <a:extLst>
            <a:ext uri="{FF2B5EF4-FFF2-40B4-BE49-F238E27FC236}">
              <a16:creationId xmlns:a16="http://schemas.microsoft.com/office/drawing/2014/main" id="{F3E0F293-00FE-4993-8C60-DBFD63E72CA7}"/>
            </a:ext>
          </a:extLst>
        </xdr:cNvPr>
        <xdr:cNvSpPr/>
      </xdr:nvSpPr>
      <xdr:spPr>
        <a:xfrm>
          <a:off x="1783080" y="5059680"/>
          <a:ext cx="464820" cy="152400"/>
        </a:xfrm>
        <a:prstGeom prst="rightArrow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403860</xdr:colOff>
      <xdr:row>23</xdr:row>
      <xdr:rowOff>30480</xdr:rowOff>
    </xdr:from>
    <xdr:to>
      <xdr:col>2</xdr:col>
      <xdr:colOff>868680</xdr:colOff>
      <xdr:row>23</xdr:row>
      <xdr:rowOff>182880</xdr:rowOff>
    </xdr:to>
    <xdr:sp macro="" textlink="">
      <xdr:nvSpPr>
        <xdr:cNvPr id="11" name="Seta: para a Direita 10">
          <a:extLst>
            <a:ext uri="{FF2B5EF4-FFF2-40B4-BE49-F238E27FC236}">
              <a16:creationId xmlns:a16="http://schemas.microsoft.com/office/drawing/2014/main" id="{A084FF0D-2BDA-4BC9-9A86-378415794768}"/>
            </a:ext>
          </a:extLst>
        </xdr:cNvPr>
        <xdr:cNvSpPr/>
      </xdr:nvSpPr>
      <xdr:spPr>
        <a:xfrm>
          <a:off x="1783080" y="4320540"/>
          <a:ext cx="464820" cy="152400"/>
        </a:xfrm>
        <a:prstGeom prst="rightArrow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23</xdr:col>
      <xdr:colOff>419100</xdr:colOff>
      <xdr:row>29</xdr:row>
      <xdr:rowOff>110549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8ADA1BC6-D502-C65B-0C3C-AB65B5190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439900" cy="5414069"/>
        </a:xfrm>
        <a:prstGeom prst="rect">
          <a:avLst/>
        </a:prstGeom>
      </xdr:spPr>
    </xdr:pic>
    <xdr:clientData/>
  </xdr:twoCellAnchor>
  <xdr:twoCellAnchor>
    <xdr:from>
      <xdr:col>0</xdr:col>
      <xdr:colOff>449580</xdr:colOff>
      <xdr:row>20</xdr:row>
      <xdr:rowOff>171491</xdr:rowOff>
    </xdr:from>
    <xdr:to>
      <xdr:col>3</xdr:col>
      <xdr:colOff>449580</xdr:colOff>
      <xdr:row>23</xdr:row>
      <xdr:rowOff>118151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AEF51F-2675-FBDB-1EF0-BF6085ED34EE}"/>
            </a:ext>
          </a:extLst>
        </xdr:cNvPr>
        <xdr:cNvSpPr/>
      </xdr:nvSpPr>
      <xdr:spPr>
        <a:xfrm>
          <a:off x="449580" y="3829091"/>
          <a:ext cx="1828800" cy="495300"/>
        </a:xfrm>
        <a:prstGeom prst="rect">
          <a:avLst/>
        </a:prstGeom>
        <a:solidFill>
          <a:sysClr val="window" lastClr="FFFFFF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accent1"/>
              </a:solidFill>
            </a:rPr>
            <a:t>Despesas</a:t>
          </a:r>
          <a:endParaRPr lang="en-GB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4</xdr:col>
      <xdr:colOff>182880</xdr:colOff>
      <xdr:row>20</xdr:row>
      <xdr:rowOff>179111</xdr:rowOff>
    </xdr:from>
    <xdr:to>
      <xdr:col>7</xdr:col>
      <xdr:colOff>182880</xdr:colOff>
      <xdr:row>23</xdr:row>
      <xdr:rowOff>125771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3D1E1A-D3FE-461A-A189-B85662CD8E30}"/>
            </a:ext>
          </a:extLst>
        </xdr:cNvPr>
        <xdr:cNvSpPr/>
      </xdr:nvSpPr>
      <xdr:spPr>
        <a:xfrm>
          <a:off x="2621280" y="3836711"/>
          <a:ext cx="1828800" cy="495300"/>
        </a:xfrm>
        <a:prstGeom prst="rect">
          <a:avLst/>
        </a:prstGeom>
        <a:solidFill>
          <a:sysClr val="window" lastClr="FFFFFF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accent1"/>
              </a:solidFill>
            </a:rPr>
            <a:t>Compras</a:t>
          </a:r>
          <a:r>
            <a:rPr lang="en-GB" sz="1400" baseline="0">
              <a:solidFill>
                <a:schemeClr val="accent1"/>
              </a:solidFill>
            </a:rPr>
            <a:t> Mercadorias</a:t>
          </a:r>
          <a:endParaRPr lang="en-GB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7</xdr:col>
      <xdr:colOff>586740</xdr:colOff>
      <xdr:row>20</xdr:row>
      <xdr:rowOff>179111</xdr:rowOff>
    </xdr:from>
    <xdr:to>
      <xdr:col>10</xdr:col>
      <xdr:colOff>586740</xdr:colOff>
      <xdr:row>23</xdr:row>
      <xdr:rowOff>125771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E3C4023-A19A-4EDF-A7CA-A42B0F0730C2}"/>
            </a:ext>
          </a:extLst>
        </xdr:cNvPr>
        <xdr:cNvSpPr/>
      </xdr:nvSpPr>
      <xdr:spPr>
        <a:xfrm>
          <a:off x="4853940" y="3836711"/>
          <a:ext cx="1828800" cy="495300"/>
        </a:xfrm>
        <a:prstGeom prst="rect">
          <a:avLst/>
        </a:prstGeom>
        <a:solidFill>
          <a:sysClr val="window" lastClr="FFFFFF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accent1"/>
              </a:solidFill>
            </a:rPr>
            <a:t>Investimentos</a:t>
          </a:r>
          <a:endParaRPr lang="en-GB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11</xdr:col>
      <xdr:colOff>426720</xdr:colOff>
      <xdr:row>20</xdr:row>
      <xdr:rowOff>171491</xdr:rowOff>
    </xdr:from>
    <xdr:to>
      <xdr:col>14</xdr:col>
      <xdr:colOff>426720</xdr:colOff>
      <xdr:row>23</xdr:row>
      <xdr:rowOff>118151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AEDCC4-10B8-41BE-9E50-FB4CEAAF3B31}"/>
            </a:ext>
          </a:extLst>
        </xdr:cNvPr>
        <xdr:cNvSpPr/>
      </xdr:nvSpPr>
      <xdr:spPr>
        <a:xfrm>
          <a:off x="7132320" y="3829091"/>
          <a:ext cx="1828800" cy="495300"/>
        </a:xfrm>
        <a:prstGeom prst="rect">
          <a:avLst/>
        </a:prstGeom>
        <a:solidFill>
          <a:sysClr val="window" lastClr="FFFFFF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accent1"/>
              </a:solidFill>
            </a:rPr>
            <a:t>Controle</a:t>
          </a:r>
          <a:r>
            <a:rPr lang="en-GB" sz="1400" baseline="0">
              <a:solidFill>
                <a:schemeClr val="accent1"/>
              </a:solidFill>
            </a:rPr>
            <a:t> de Estoque</a:t>
          </a:r>
          <a:endParaRPr lang="en-GB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19</xdr:col>
      <xdr:colOff>15240</xdr:colOff>
      <xdr:row>20</xdr:row>
      <xdr:rowOff>163871</xdr:rowOff>
    </xdr:from>
    <xdr:to>
      <xdr:col>22</xdr:col>
      <xdr:colOff>15240</xdr:colOff>
      <xdr:row>23</xdr:row>
      <xdr:rowOff>110531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3E2010B-BEDA-4AC7-9CDB-5848BB6366F1}"/>
            </a:ext>
          </a:extLst>
        </xdr:cNvPr>
        <xdr:cNvSpPr/>
      </xdr:nvSpPr>
      <xdr:spPr>
        <a:xfrm>
          <a:off x="11597640" y="3821471"/>
          <a:ext cx="1828800" cy="495300"/>
        </a:xfrm>
        <a:prstGeom prst="rect">
          <a:avLst/>
        </a:prstGeom>
        <a:solidFill>
          <a:sysClr val="window" lastClr="FFFFFF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accent1"/>
              </a:solidFill>
            </a:rPr>
            <a:t>Resultados</a:t>
          </a:r>
          <a:endParaRPr lang="en-GB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15</xdr:col>
      <xdr:colOff>198120</xdr:colOff>
      <xdr:row>20</xdr:row>
      <xdr:rowOff>156251</xdr:rowOff>
    </xdr:from>
    <xdr:to>
      <xdr:col>18</xdr:col>
      <xdr:colOff>198120</xdr:colOff>
      <xdr:row>23</xdr:row>
      <xdr:rowOff>102911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442C1A-A009-4895-B822-8E4216E1C3B4}"/>
            </a:ext>
          </a:extLst>
        </xdr:cNvPr>
        <xdr:cNvSpPr/>
      </xdr:nvSpPr>
      <xdr:spPr>
        <a:xfrm>
          <a:off x="9342120" y="3813851"/>
          <a:ext cx="1828800" cy="495300"/>
        </a:xfrm>
        <a:prstGeom prst="rect">
          <a:avLst/>
        </a:prstGeom>
        <a:solidFill>
          <a:sysClr val="window" lastClr="FFFFFF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accent1"/>
              </a:solidFill>
            </a:rPr>
            <a:t>Vendas</a:t>
          </a:r>
          <a:r>
            <a:rPr lang="en-GB" sz="1400" baseline="0">
              <a:solidFill>
                <a:schemeClr val="accent1"/>
              </a:solidFill>
            </a:rPr>
            <a:t> do Mês</a:t>
          </a:r>
          <a:endParaRPr lang="en-GB" sz="1100">
            <a:solidFill>
              <a:schemeClr val="accent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1226820</xdr:colOff>
      <xdr:row>1</xdr:row>
      <xdr:rowOff>45720</xdr:rowOff>
    </xdr:from>
    <xdr:to>
      <xdr:col>7</xdr:col>
      <xdr:colOff>327660</xdr:colOff>
      <xdr:row>1</xdr:row>
      <xdr:rowOff>320040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4E8142-2CDF-EF9A-7FCB-40511A155EDB}"/>
            </a:ext>
          </a:extLst>
        </xdr:cNvPr>
        <xdr:cNvSpPr/>
      </xdr:nvSpPr>
      <xdr:spPr>
        <a:xfrm>
          <a:off x="12847320" y="228600"/>
          <a:ext cx="10058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1760220</xdr:colOff>
      <xdr:row>1</xdr:row>
      <xdr:rowOff>45720</xdr:rowOff>
    </xdr:from>
    <xdr:to>
      <xdr:col>5</xdr:col>
      <xdr:colOff>1546860</xdr:colOff>
      <xdr:row>1</xdr:row>
      <xdr:rowOff>320040</xdr:rowOff>
    </xdr:to>
    <xdr:sp macro="" textlink="">
      <xdr:nvSpPr>
        <xdr:cNvPr id="34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D1AFD6E-C1CD-4616-9D6C-6C443E05457A}"/>
            </a:ext>
            <a:ext uri="{147F2762-F138-4A5C-976F-8EAC2B608ADB}">
              <a16:predDERef xmlns:a16="http://schemas.microsoft.com/office/drawing/2014/main" pred="{EB4E8142-2CDF-EF9A-7FCB-40511A155EDB}"/>
            </a:ext>
          </a:extLst>
        </xdr:cNvPr>
        <xdr:cNvSpPr/>
      </xdr:nvSpPr>
      <xdr:spPr>
        <a:xfrm>
          <a:off x="9570720" y="228600"/>
          <a:ext cx="16916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Compras Mercadorias</a:t>
          </a:r>
        </a:p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>
    <xdr:from>
      <xdr:col>5</xdr:col>
      <xdr:colOff>1844040</xdr:colOff>
      <xdr:row>1</xdr:row>
      <xdr:rowOff>45720</xdr:rowOff>
    </xdr:from>
    <xdr:to>
      <xdr:col>6</xdr:col>
      <xdr:colOff>944880</xdr:colOff>
      <xdr:row>1</xdr:row>
      <xdr:rowOff>320040</xdr:rowOff>
    </xdr:to>
    <xdr:sp macro="" textlink="">
      <xdr:nvSpPr>
        <xdr:cNvPr id="33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AFCD413-23EB-45F1-99C2-5CF91D1CDE62}"/>
            </a:ext>
            <a:ext uri="{147F2762-F138-4A5C-976F-8EAC2B608ADB}">
              <a16:predDERef xmlns:a16="http://schemas.microsoft.com/office/drawing/2014/main" pred="{3D1AFD6E-C1CD-4616-9D6C-6C443E05457A}"/>
            </a:ext>
          </a:extLst>
        </xdr:cNvPr>
        <xdr:cNvSpPr/>
      </xdr:nvSpPr>
      <xdr:spPr>
        <a:xfrm>
          <a:off x="11559540" y="228600"/>
          <a:ext cx="10058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Resultados</a:t>
          </a:r>
        </a:p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1036319</xdr:colOff>
      <xdr:row>1</xdr:row>
      <xdr:rowOff>60960</xdr:rowOff>
    </xdr:from>
    <xdr:to>
      <xdr:col>10</xdr:col>
      <xdr:colOff>271558</xdr:colOff>
      <xdr:row>1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77A142-4905-45A6-BB08-4961EA2D31E1}"/>
            </a:ext>
          </a:extLst>
        </xdr:cNvPr>
        <xdr:cNvSpPr/>
      </xdr:nvSpPr>
      <xdr:spPr>
        <a:xfrm>
          <a:off x="12054839" y="243840"/>
          <a:ext cx="1323119" cy="3200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6</xdr:col>
      <xdr:colOff>114300</xdr:colOff>
      <xdr:row>1</xdr:row>
      <xdr:rowOff>53340</xdr:rowOff>
    </xdr:from>
    <xdr:to>
      <xdr:col>7</xdr:col>
      <xdr:colOff>266700</xdr:colOff>
      <xdr:row>1</xdr:row>
      <xdr:rowOff>373380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C8ECFFB-7F76-4A9E-A951-CAEC8A02C187}"/>
            </a:ext>
          </a:extLst>
        </xdr:cNvPr>
        <xdr:cNvSpPr/>
      </xdr:nvSpPr>
      <xdr:spPr>
        <a:xfrm>
          <a:off x="8115300" y="236220"/>
          <a:ext cx="1630680" cy="3200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Controle</a:t>
          </a:r>
          <a:r>
            <a:rPr lang="en-GB" sz="1100" baseline="0"/>
            <a:t> de Estoque</a:t>
          </a:r>
        </a:p>
        <a:p>
          <a:pPr algn="ctr"/>
          <a:endParaRPr lang="en-GB" sz="1100"/>
        </a:p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>
    <xdr:from>
      <xdr:col>7</xdr:col>
      <xdr:colOff>510539</xdr:colOff>
      <xdr:row>1</xdr:row>
      <xdr:rowOff>60960</xdr:rowOff>
    </xdr:from>
    <xdr:to>
      <xdr:col>8</xdr:col>
      <xdr:colOff>769620</xdr:colOff>
      <xdr:row>1</xdr:row>
      <xdr:rowOff>381000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0CBBD4-0DA0-4129-B237-C8B4CEA85860}"/>
            </a:ext>
          </a:extLst>
        </xdr:cNvPr>
        <xdr:cNvSpPr/>
      </xdr:nvSpPr>
      <xdr:spPr>
        <a:xfrm>
          <a:off x="10614659" y="243840"/>
          <a:ext cx="1173481" cy="3200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Despesas</a:t>
          </a:r>
        </a:p>
      </xdr:txBody>
    </xdr:sp>
    <xdr:clientData/>
  </xdr:twoCellAnchor>
  <xdr:twoCellAnchor>
    <xdr:from>
      <xdr:col>9</xdr:col>
      <xdr:colOff>129540</xdr:colOff>
      <xdr:row>3</xdr:row>
      <xdr:rowOff>15240</xdr:rowOff>
    </xdr:from>
    <xdr:to>
      <xdr:col>11</xdr:col>
      <xdr:colOff>365760</xdr:colOff>
      <xdr:row>5</xdr:row>
      <xdr:rowOff>99060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D4A97A66-3E6E-E39F-5A35-7FC202BD03F1}"/>
            </a:ext>
          </a:extLst>
        </xdr:cNvPr>
        <xdr:cNvSpPr/>
      </xdr:nvSpPr>
      <xdr:spPr>
        <a:xfrm>
          <a:off x="12565380" y="1036320"/>
          <a:ext cx="1455420" cy="48006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Nova Compra</a:t>
          </a:r>
        </a:p>
      </xdr:txBody>
    </xdr:sp>
    <xdr:clientData/>
  </xdr:twoCellAnchor>
  <xdr:twoCellAnchor>
    <xdr:from>
      <xdr:col>9</xdr:col>
      <xdr:colOff>137160</xdr:colOff>
      <xdr:row>6</xdr:row>
      <xdr:rowOff>91440</xdr:rowOff>
    </xdr:from>
    <xdr:to>
      <xdr:col>11</xdr:col>
      <xdr:colOff>373380</xdr:colOff>
      <xdr:row>8</xdr:row>
      <xdr:rowOff>175260</xdr:rowOff>
    </xdr:to>
    <xdr:sp macro="[0]!Excluir_Compra" textlink="">
      <xdr:nvSpPr>
        <xdr:cNvPr id="6" name="Retângulo 5">
          <a:extLst>
            <a:ext uri="{FF2B5EF4-FFF2-40B4-BE49-F238E27FC236}">
              <a16:creationId xmlns:a16="http://schemas.microsoft.com/office/drawing/2014/main" id="{BFB574C1-665C-4ECE-8C1E-7CF6B5C6453E}"/>
            </a:ext>
          </a:extLst>
        </xdr:cNvPr>
        <xdr:cNvSpPr/>
      </xdr:nvSpPr>
      <xdr:spPr>
        <a:xfrm>
          <a:off x="12573000" y="1706880"/>
          <a:ext cx="1455420" cy="48006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Excluir</a:t>
          </a:r>
          <a:r>
            <a:rPr lang="en-GB" sz="1200" baseline="0"/>
            <a:t> Registro de </a:t>
          </a:r>
          <a:r>
            <a:rPr lang="en-GB" sz="1200"/>
            <a:t>Compra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1600200</xdr:colOff>
      <xdr:row>1</xdr:row>
      <xdr:rowOff>45720</xdr:rowOff>
    </xdr:from>
    <xdr:to>
      <xdr:col>6</xdr:col>
      <xdr:colOff>91440</xdr:colOff>
      <xdr:row>1</xdr:row>
      <xdr:rowOff>320040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5C7469-A706-4241-BCF0-1BF8E8ED90E9}"/>
            </a:ext>
          </a:extLst>
        </xdr:cNvPr>
        <xdr:cNvSpPr/>
      </xdr:nvSpPr>
      <xdr:spPr>
        <a:xfrm>
          <a:off x="12550140" y="228600"/>
          <a:ext cx="10058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312420</xdr:colOff>
      <xdr:row>1</xdr:row>
      <xdr:rowOff>45720</xdr:rowOff>
    </xdr:from>
    <xdr:to>
      <xdr:col>4</xdr:col>
      <xdr:colOff>1318260</xdr:colOff>
      <xdr:row>1</xdr:row>
      <xdr:rowOff>320040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30555B-8AA6-447C-A2B0-E9C08189D029}"/>
            </a:ext>
          </a:extLst>
        </xdr:cNvPr>
        <xdr:cNvSpPr/>
      </xdr:nvSpPr>
      <xdr:spPr>
        <a:xfrm>
          <a:off x="11262360" y="228600"/>
          <a:ext cx="10058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Resultados</a:t>
          </a:r>
        </a:p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579120</xdr:colOff>
      <xdr:row>1</xdr:row>
      <xdr:rowOff>45720</xdr:rowOff>
    </xdr:from>
    <xdr:to>
      <xdr:col>9</xdr:col>
      <xdr:colOff>99060</xdr:colOff>
      <xdr:row>1</xdr:row>
      <xdr:rowOff>320040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F996C9-A344-42D0-9D68-2EE04CF4D3D0}"/>
            </a:ext>
          </a:extLst>
        </xdr:cNvPr>
        <xdr:cNvSpPr/>
      </xdr:nvSpPr>
      <xdr:spPr>
        <a:xfrm>
          <a:off x="12504420" y="228600"/>
          <a:ext cx="10820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6</xdr:col>
      <xdr:colOff>289560</xdr:colOff>
      <xdr:row>1</xdr:row>
      <xdr:rowOff>45720</xdr:rowOff>
    </xdr:from>
    <xdr:to>
      <xdr:col>7</xdr:col>
      <xdr:colOff>289560</xdr:colOff>
      <xdr:row>1</xdr:row>
      <xdr:rowOff>320040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D34D558-1504-4FA7-8E7D-E1D0B0F59393}"/>
            </a:ext>
          </a:extLst>
        </xdr:cNvPr>
        <xdr:cNvSpPr/>
      </xdr:nvSpPr>
      <xdr:spPr>
        <a:xfrm>
          <a:off x="8900160" y="228600"/>
          <a:ext cx="16916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Compras Mercadorias</a:t>
          </a:r>
        </a:p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>
    <xdr:from>
      <xdr:col>7</xdr:col>
      <xdr:colOff>563880</xdr:colOff>
      <xdr:row>1</xdr:row>
      <xdr:rowOff>45720</xdr:rowOff>
    </xdr:from>
    <xdr:to>
      <xdr:col>8</xdr:col>
      <xdr:colOff>266700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19F9ACD-8EE0-4C2C-B25F-D69B2D8D990B}"/>
            </a:ext>
          </a:extLst>
        </xdr:cNvPr>
        <xdr:cNvSpPr/>
      </xdr:nvSpPr>
      <xdr:spPr>
        <a:xfrm>
          <a:off x="10866120" y="228600"/>
          <a:ext cx="132588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Vendas</a:t>
          </a:r>
          <a:r>
            <a:rPr lang="en-GB" sz="1100" baseline="0"/>
            <a:t> do Mês</a:t>
          </a:r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556260</xdr:colOff>
      <xdr:row>1</xdr:row>
      <xdr:rowOff>53340</xdr:rowOff>
    </xdr:from>
    <xdr:to>
      <xdr:col>5</xdr:col>
      <xdr:colOff>1638300</xdr:colOff>
      <xdr:row>1</xdr:row>
      <xdr:rowOff>327660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CA93F8-2310-475B-A0DA-3E5204B3FB8F}"/>
            </a:ext>
          </a:extLst>
        </xdr:cNvPr>
        <xdr:cNvSpPr/>
      </xdr:nvSpPr>
      <xdr:spPr>
        <a:xfrm>
          <a:off x="12359640" y="236220"/>
          <a:ext cx="10820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327660</xdr:colOff>
      <xdr:row>1</xdr:row>
      <xdr:rowOff>53340</xdr:rowOff>
    </xdr:from>
    <xdr:to>
      <xdr:col>4</xdr:col>
      <xdr:colOff>1760220</xdr:colOff>
      <xdr:row>1</xdr:row>
      <xdr:rowOff>327660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80DBCB-ABB3-480F-A349-D4A2FCB876E1}"/>
            </a:ext>
          </a:extLst>
        </xdr:cNvPr>
        <xdr:cNvSpPr/>
      </xdr:nvSpPr>
      <xdr:spPr>
        <a:xfrm>
          <a:off x="9006840" y="236220"/>
          <a:ext cx="143256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Despesas</a:t>
          </a:r>
        </a:p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2042160</xdr:colOff>
      <xdr:row>1</xdr:row>
      <xdr:rowOff>53340</xdr:rowOff>
    </xdr:from>
    <xdr:to>
      <xdr:col>5</xdr:col>
      <xdr:colOff>243840</xdr:colOff>
      <xdr:row>1</xdr:row>
      <xdr:rowOff>327660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E53F49-2F54-4A66-8379-7DFAC34E850E}"/>
            </a:ext>
          </a:extLst>
        </xdr:cNvPr>
        <xdr:cNvSpPr/>
      </xdr:nvSpPr>
      <xdr:spPr>
        <a:xfrm>
          <a:off x="10721340" y="236220"/>
          <a:ext cx="132588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Vendas</a:t>
          </a:r>
          <a:r>
            <a:rPr lang="en-GB" sz="1100" baseline="0"/>
            <a:t> do Mês</a:t>
          </a:r>
          <a:endParaRPr lang="en-GB" sz="1100"/>
        </a:p>
      </xdr:txBody>
    </xdr:sp>
    <xdr:clientData/>
  </xdr:twoCellAnchor>
  <xdr:twoCellAnchor>
    <xdr:from>
      <xdr:col>2</xdr:col>
      <xdr:colOff>22860</xdr:colOff>
      <xdr:row>29</xdr:row>
      <xdr:rowOff>179070</xdr:rowOff>
    </xdr:from>
    <xdr:to>
      <xdr:col>5</xdr:col>
      <xdr:colOff>45720</xdr:colOff>
      <xdr:row>53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145407A-2E46-57C8-53DB-F75EA2964E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6</xdr:row>
      <xdr:rowOff>175260</xdr:rowOff>
    </xdr:from>
    <xdr:to>
      <xdr:col>14</xdr:col>
      <xdr:colOff>274320</xdr:colOff>
      <xdr:row>21</xdr:row>
      <xdr:rowOff>60960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E5853D-F946-28BF-27D2-82212BFF2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152400</xdr:colOff>
      <xdr:row>25</xdr:row>
      <xdr:rowOff>169552</xdr:rowOff>
    </xdr:from>
    <xdr:to>
      <xdr:col>14</xdr:col>
      <xdr:colOff>586740</xdr:colOff>
      <xdr:row>40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6D9D3D9-8AFC-80A0-BAA5-20D20334E0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198120</xdr:colOff>
      <xdr:row>45</xdr:row>
      <xdr:rowOff>110490</xdr:rowOff>
    </xdr:from>
    <xdr:to>
      <xdr:col>13</xdr:col>
      <xdr:colOff>342900</xdr:colOff>
      <xdr:row>62</xdr:row>
      <xdr:rowOff>91440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71F326-5896-7BA6-C60C-8B4413710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716280</xdr:colOff>
      <xdr:row>1</xdr:row>
      <xdr:rowOff>45720</xdr:rowOff>
    </xdr:from>
    <xdr:to>
      <xdr:col>14</xdr:col>
      <xdr:colOff>220980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0D72C4-F922-4177-B8E5-F702227E18F3}"/>
            </a:ext>
          </a:extLst>
        </xdr:cNvPr>
        <xdr:cNvSpPr/>
      </xdr:nvSpPr>
      <xdr:spPr>
        <a:xfrm>
          <a:off x="13083540" y="228600"/>
          <a:ext cx="10058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7</xdr:col>
      <xdr:colOff>464820</xdr:colOff>
      <xdr:row>1</xdr:row>
      <xdr:rowOff>45720</xdr:rowOff>
    </xdr:from>
    <xdr:to>
      <xdr:col>10</xdr:col>
      <xdr:colOff>327660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D5644D-A086-4A57-B3F4-5B87D9DCB6EB}"/>
            </a:ext>
          </a:extLst>
        </xdr:cNvPr>
        <xdr:cNvSpPr/>
      </xdr:nvSpPr>
      <xdr:spPr>
        <a:xfrm>
          <a:off x="9806940" y="228600"/>
          <a:ext cx="16916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Ir</a:t>
          </a:r>
          <a:r>
            <a:rPr lang="en-GB" sz="1100" baseline="0"/>
            <a:t> para Semanas</a:t>
          </a:r>
        </a:p>
      </xdr:txBody>
    </xdr:sp>
    <xdr:clientData/>
  </xdr:twoCellAnchor>
  <xdr:twoCellAnchor>
    <xdr:from>
      <xdr:col>11</xdr:col>
      <xdr:colOff>15240</xdr:colOff>
      <xdr:row>1</xdr:row>
      <xdr:rowOff>45720</xdr:rowOff>
    </xdr:from>
    <xdr:to>
      <xdr:col>12</xdr:col>
      <xdr:colOff>434340</xdr:colOff>
      <xdr:row>1</xdr:row>
      <xdr:rowOff>320040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4F36BA4-58F4-4297-98EB-F227EB101C01}"/>
            </a:ext>
          </a:extLst>
        </xdr:cNvPr>
        <xdr:cNvSpPr/>
      </xdr:nvSpPr>
      <xdr:spPr>
        <a:xfrm>
          <a:off x="11795760" y="228600"/>
          <a:ext cx="10058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Resultados</a:t>
          </a:r>
        </a:p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>
    <xdr:from>
      <xdr:col>1</xdr:col>
      <xdr:colOff>845820</xdr:colOff>
      <xdr:row>64</xdr:row>
      <xdr:rowOff>22860</xdr:rowOff>
    </xdr:from>
    <xdr:to>
      <xdr:col>2</xdr:col>
      <xdr:colOff>1485900</xdr:colOff>
      <xdr:row>65</xdr:row>
      <xdr:rowOff>160020</xdr:rowOff>
    </xdr:to>
    <xdr:sp macro="" textlink="">
      <xdr:nvSpPr>
        <xdr:cNvPr id="14" name="Retângul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EDB992-1E4B-425F-B9B5-BFD7D5DF796A}"/>
            </a:ext>
          </a:extLst>
        </xdr:cNvPr>
        <xdr:cNvSpPr/>
      </xdr:nvSpPr>
      <xdr:spPr>
        <a:xfrm>
          <a:off x="1455420" y="13479780"/>
          <a:ext cx="1630680" cy="32004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1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  <xdr:twoCellAnchor>
    <xdr:from>
      <xdr:col>2</xdr:col>
      <xdr:colOff>1851660</xdr:colOff>
      <xdr:row>64</xdr:row>
      <xdr:rowOff>30480</xdr:rowOff>
    </xdr:from>
    <xdr:to>
      <xdr:col>2</xdr:col>
      <xdr:colOff>3482340</xdr:colOff>
      <xdr:row>65</xdr:row>
      <xdr:rowOff>167640</xdr:rowOff>
    </xdr:to>
    <xdr:sp macro="" textlink="">
      <xdr:nvSpPr>
        <xdr:cNvPr id="15" name="Retângul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F39D2E1-E000-4A39-B32C-B0CE477EE76F}"/>
            </a:ext>
          </a:extLst>
        </xdr:cNvPr>
        <xdr:cNvSpPr/>
      </xdr:nvSpPr>
      <xdr:spPr>
        <a:xfrm>
          <a:off x="3451860" y="13487400"/>
          <a:ext cx="1630680" cy="32004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2</a:t>
          </a:r>
        </a:p>
      </xdr:txBody>
    </xdr:sp>
    <xdr:clientData/>
  </xdr:twoCellAnchor>
  <xdr:twoCellAnchor>
    <xdr:from>
      <xdr:col>3</xdr:col>
      <xdr:colOff>350520</xdr:colOff>
      <xdr:row>64</xdr:row>
      <xdr:rowOff>38100</xdr:rowOff>
    </xdr:from>
    <xdr:to>
      <xdr:col>4</xdr:col>
      <xdr:colOff>609600</xdr:colOff>
      <xdr:row>65</xdr:row>
      <xdr:rowOff>175260</xdr:rowOff>
    </xdr:to>
    <xdr:sp macro="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7794C3C-A382-4888-AF01-20B5859F590F}"/>
            </a:ext>
          </a:extLst>
        </xdr:cNvPr>
        <xdr:cNvSpPr/>
      </xdr:nvSpPr>
      <xdr:spPr>
        <a:xfrm>
          <a:off x="5448300" y="13495020"/>
          <a:ext cx="1691640" cy="32004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3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982980</xdr:colOff>
      <xdr:row>64</xdr:row>
      <xdr:rowOff>45720</xdr:rowOff>
    </xdr:from>
    <xdr:to>
      <xdr:col>6</xdr:col>
      <xdr:colOff>472440</xdr:colOff>
      <xdr:row>66</xdr:row>
      <xdr:rowOff>0</xdr:rowOff>
    </xdr:to>
    <xdr:sp macro="" textlink="">
      <xdr:nvSpPr>
        <xdr:cNvPr id="17" name="Retângulo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434D5F8-1C38-40D4-ABC6-97E65F3E84EF}"/>
            </a:ext>
          </a:extLst>
        </xdr:cNvPr>
        <xdr:cNvSpPr/>
      </xdr:nvSpPr>
      <xdr:spPr>
        <a:xfrm>
          <a:off x="7513320" y="13502640"/>
          <a:ext cx="1630680" cy="32004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4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  <xdr:twoCellAnchor>
    <xdr:from>
      <xdr:col>7</xdr:col>
      <xdr:colOff>297180</xdr:colOff>
      <xdr:row>64</xdr:row>
      <xdr:rowOff>53340</xdr:rowOff>
    </xdr:from>
    <xdr:to>
      <xdr:col>10</xdr:col>
      <xdr:colOff>99060</xdr:colOff>
      <xdr:row>66</xdr:row>
      <xdr:rowOff>7620</xdr:rowOff>
    </xdr:to>
    <xdr:sp macro="" textlink="">
      <xdr:nvSpPr>
        <xdr:cNvPr id="18" name="Retângulo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B56E298-BD96-4D21-8AE0-558E4DF53845}"/>
            </a:ext>
          </a:extLst>
        </xdr:cNvPr>
        <xdr:cNvSpPr/>
      </xdr:nvSpPr>
      <xdr:spPr>
        <a:xfrm>
          <a:off x="9578340" y="13510260"/>
          <a:ext cx="1630680" cy="32004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5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243840</xdr:colOff>
      <xdr:row>1</xdr:row>
      <xdr:rowOff>38100</xdr:rowOff>
    </xdr:from>
    <xdr:to>
      <xdr:col>12</xdr:col>
      <xdr:colOff>1325880</xdr:colOff>
      <xdr:row>1</xdr:row>
      <xdr:rowOff>312420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88997E-A343-424C-8674-44601431703E}"/>
            </a:ext>
          </a:extLst>
        </xdr:cNvPr>
        <xdr:cNvSpPr/>
      </xdr:nvSpPr>
      <xdr:spPr>
        <a:xfrm>
          <a:off x="12976860" y="220980"/>
          <a:ext cx="10820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10</xdr:col>
      <xdr:colOff>632460</xdr:colOff>
      <xdr:row>1</xdr:row>
      <xdr:rowOff>38100</xdr:rowOff>
    </xdr:from>
    <xdr:to>
      <xdr:col>11</xdr:col>
      <xdr:colOff>777240</xdr:colOff>
      <xdr:row>1</xdr:row>
      <xdr:rowOff>312420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34054E-6A16-41CB-A860-6A4AC2218804}"/>
            </a:ext>
          </a:extLst>
        </xdr:cNvPr>
        <xdr:cNvSpPr/>
      </xdr:nvSpPr>
      <xdr:spPr>
        <a:xfrm>
          <a:off x="11338560" y="220980"/>
          <a:ext cx="132588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Vendas</a:t>
          </a:r>
          <a:r>
            <a:rPr lang="en-GB" sz="1100" baseline="0"/>
            <a:t> do Mês</a:t>
          </a:r>
          <a:endParaRPr lang="en-GB" sz="1100"/>
        </a:p>
      </xdr:txBody>
    </xdr:sp>
    <xdr:clientData/>
  </xdr:twoCellAnchor>
  <xdr:twoCellAnchor>
    <xdr:from>
      <xdr:col>0</xdr:col>
      <xdr:colOff>45721</xdr:colOff>
      <xdr:row>3</xdr:row>
      <xdr:rowOff>7620</xdr:rowOff>
    </xdr:from>
    <xdr:to>
      <xdr:col>0</xdr:col>
      <xdr:colOff>1318261</xdr:colOff>
      <xdr:row>5</xdr:row>
      <xdr:rowOff>152400</xdr:rowOff>
    </xdr:to>
    <xdr:sp macro="[0]!Excluir_Registro_Venda" textlink="">
      <xdr:nvSpPr>
        <xdr:cNvPr id="7" name="Retângulo 6">
          <a:extLst>
            <a:ext uri="{FF2B5EF4-FFF2-40B4-BE49-F238E27FC236}">
              <a16:creationId xmlns:a16="http://schemas.microsoft.com/office/drawing/2014/main" id="{BDC04DE9-FFB3-49A1-9BED-650474AC0A58}"/>
            </a:ext>
          </a:extLst>
        </xdr:cNvPr>
        <xdr:cNvSpPr/>
      </xdr:nvSpPr>
      <xdr:spPr>
        <a:xfrm>
          <a:off x="45721" y="952500"/>
          <a:ext cx="1272540" cy="51054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Excluir Registro de Venda</a:t>
          </a:r>
        </a:p>
      </xdr:txBody>
    </xdr:sp>
    <xdr:clientData/>
  </xdr:twoCellAnchor>
  <xdr:twoCellAnchor>
    <xdr:from>
      <xdr:col>0</xdr:col>
      <xdr:colOff>45720</xdr:colOff>
      <xdr:row>6</xdr:row>
      <xdr:rowOff>137160</xdr:rowOff>
    </xdr:from>
    <xdr:to>
      <xdr:col>0</xdr:col>
      <xdr:colOff>1310123</xdr:colOff>
      <xdr:row>8</xdr:row>
      <xdr:rowOff>140732</xdr:rowOff>
    </xdr:to>
    <xdr:sp macro="[0]!Nova_Venda" textlink="">
      <xdr:nvSpPr>
        <xdr:cNvPr id="8" name="Retângulo 7">
          <a:extLst>
            <a:ext uri="{FF2B5EF4-FFF2-40B4-BE49-F238E27FC236}">
              <a16:creationId xmlns:a16="http://schemas.microsoft.com/office/drawing/2014/main" id="{DD55C069-B5F2-4B59-9BB3-FEB6F4F6D43F}"/>
            </a:ext>
          </a:extLst>
        </xdr:cNvPr>
        <xdr:cNvSpPr/>
      </xdr:nvSpPr>
      <xdr:spPr>
        <a:xfrm>
          <a:off x="45720" y="1630680"/>
          <a:ext cx="1264403" cy="369332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Nova Venda</a:t>
          </a:r>
        </a:p>
      </xdr:txBody>
    </xdr:sp>
    <xdr:clientData/>
  </xdr:twoCellAnchor>
  <xdr:twoCellAnchor>
    <xdr:from>
      <xdr:col>0</xdr:col>
      <xdr:colOff>45721</xdr:colOff>
      <xdr:row>9</xdr:row>
      <xdr:rowOff>167640</xdr:rowOff>
    </xdr:from>
    <xdr:to>
      <xdr:col>0</xdr:col>
      <xdr:colOff>1303021</xdr:colOff>
      <xdr:row>11</xdr:row>
      <xdr:rowOff>175260</xdr:rowOff>
    </xdr:to>
    <xdr:sp macro="[0]!Inserir_Produto" textlink="">
      <xdr:nvSpPr>
        <xdr:cNvPr id="9" name="Retângulo 8">
          <a:extLst>
            <a:ext uri="{FF2B5EF4-FFF2-40B4-BE49-F238E27FC236}">
              <a16:creationId xmlns:a16="http://schemas.microsoft.com/office/drawing/2014/main" id="{2F79499B-B7BC-44F2-B412-B770389D6751}"/>
            </a:ext>
          </a:extLst>
        </xdr:cNvPr>
        <xdr:cNvSpPr/>
      </xdr:nvSpPr>
      <xdr:spPr>
        <a:xfrm>
          <a:off x="45721" y="2209800"/>
          <a:ext cx="1257300" cy="37338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Inserir Produto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144780</xdr:rowOff>
    </xdr:from>
    <xdr:to>
      <xdr:col>2</xdr:col>
      <xdr:colOff>15240</xdr:colOff>
      <xdr:row>2</xdr:row>
      <xdr:rowOff>68580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6B41F1-3F07-45BA-9A70-C41C730C9D9C}"/>
            </a:ext>
          </a:extLst>
        </xdr:cNvPr>
        <xdr:cNvSpPr/>
      </xdr:nvSpPr>
      <xdr:spPr>
        <a:xfrm>
          <a:off x="1295400" y="144780"/>
          <a:ext cx="1303020" cy="28956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1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  <xdr:twoCellAnchor>
    <xdr:from>
      <xdr:col>5</xdr:col>
      <xdr:colOff>45720</xdr:colOff>
      <xdr:row>3</xdr:row>
      <xdr:rowOff>7620</xdr:rowOff>
    </xdr:from>
    <xdr:to>
      <xdr:col>13</xdr:col>
      <xdr:colOff>537883</xdr:colOff>
      <xdr:row>27</xdr:row>
      <xdr:rowOff>134471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D2982BA7-3987-C3F5-413A-82DBBCB8E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670560</xdr:colOff>
      <xdr:row>50</xdr:row>
      <xdr:rowOff>0</xdr:rowOff>
    </xdr:from>
    <xdr:to>
      <xdr:col>14</xdr:col>
      <xdr:colOff>586740</xdr:colOff>
      <xdr:row>74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2EE9708-0E68-76D8-B185-0F8964FA6B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334830</xdr:colOff>
      <xdr:row>4</xdr:row>
      <xdr:rowOff>144332</xdr:rowOff>
    </xdr:from>
    <xdr:to>
      <xdr:col>14</xdr:col>
      <xdr:colOff>334830</xdr:colOff>
      <xdr:row>10</xdr:row>
      <xdr:rowOff>89646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AE0232B8-6488-C91C-6648-A4A0757BFB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14971" y="879438"/>
              <a:ext cx="1828800" cy="11286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250115</xdr:colOff>
      <xdr:row>51</xdr:row>
      <xdr:rowOff>125955</xdr:rowOff>
    </xdr:from>
    <xdr:to>
      <xdr:col>15</xdr:col>
      <xdr:colOff>250115</xdr:colOff>
      <xdr:row>58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ntrega">
              <a:extLst>
                <a:ext uri="{FF2B5EF4-FFF2-40B4-BE49-F238E27FC236}">
                  <a16:creationId xmlns:a16="http://schemas.microsoft.com/office/drawing/2014/main" id="{F3F4DAA2-7FAB-273B-9033-6E304F8DBA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9856" y="9789908"/>
              <a:ext cx="1828800" cy="14070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1</xdr:row>
      <xdr:rowOff>45720</xdr:rowOff>
    </xdr:from>
    <xdr:to>
      <xdr:col>13</xdr:col>
      <xdr:colOff>7620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3ABF63-4DE6-40C8-B1EC-DDC3928B79A7}"/>
            </a:ext>
          </a:extLst>
        </xdr:cNvPr>
        <xdr:cNvSpPr/>
      </xdr:nvSpPr>
      <xdr:spPr>
        <a:xfrm>
          <a:off x="12908280" y="228600"/>
          <a:ext cx="10820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10</xdr:col>
      <xdr:colOff>525780</xdr:colOff>
      <xdr:row>1</xdr:row>
      <xdr:rowOff>45720</xdr:rowOff>
    </xdr:from>
    <xdr:to>
      <xdr:col>11</xdr:col>
      <xdr:colOff>754380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B0B28AE-5614-45EA-A19A-1D15C18053C7}"/>
            </a:ext>
          </a:extLst>
        </xdr:cNvPr>
        <xdr:cNvSpPr/>
      </xdr:nvSpPr>
      <xdr:spPr>
        <a:xfrm>
          <a:off x="11186160" y="228600"/>
          <a:ext cx="140970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Vendas</a:t>
          </a:r>
          <a:r>
            <a:rPr lang="en-GB" sz="1100" baseline="0"/>
            <a:t> do Mês</a:t>
          </a:r>
          <a:endParaRPr lang="en-GB" sz="1100"/>
        </a:p>
      </xdr:txBody>
    </xdr:sp>
    <xdr:clientData/>
  </xdr:twoCellAnchor>
  <xdr:twoCellAnchor>
    <xdr:from>
      <xdr:col>0</xdr:col>
      <xdr:colOff>198121</xdr:colOff>
      <xdr:row>3</xdr:row>
      <xdr:rowOff>15240</xdr:rowOff>
    </xdr:from>
    <xdr:to>
      <xdr:col>0</xdr:col>
      <xdr:colOff>1470661</xdr:colOff>
      <xdr:row>5</xdr:row>
      <xdr:rowOff>160020</xdr:rowOff>
    </xdr:to>
    <xdr:sp macro="[0]!Excluir_Registro_Venda" textlink="">
      <xdr:nvSpPr>
        <xdr:cNvPr id="7" name="Retângulo 6">
          <a:extLst>
            <a:ext uri="{FF2B5EF4-FFF2-40B4-BE49-F238E27FC236}">
              <a16:creationId xmlns:a16="http://schemas.microsoft.com/office/drawing/2014/main" id="{0390CC4B-5C6B-4BBE-BA9A-3E6F9D54A7AE}"/>
            </a:ext>
          </a:extLst>
        </xdr:cNvPr>
        <xdr:cNvSpPr/>
      </xdr:nvSpPr>
      <xdr:spPr>
        <a:xfrm>
          <a:off x="198121" y="960120"/>
          <a:ext cx="1272540" cy="51054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Excluir Registro de Venda</a:t>
          </a:r>
        </a:p>
      </xdr:txBody>
    </xdr:sp>
    <xdr:clientData/>
  </xdr:twoCellAnchor>
  <xdr:twoCellAnchor>
    <xdr:from>
      <xdr:col>0</xdr:col>
      <xdr:colOff>198120</xdr:colOff>
      <xdr:row>6</xdr:row>
      <xdr:rowOff>144780</xdr:rowOff>
    </xdr:from>
    <xdr:to>
      <xdr:col>0</xdr:col>
      <xdr:colOff>1462523</xdr:colOff>
      <xdr:row>8</xdr:row>
      <xdr:rowOff>148352</xdr:rowOff>
    </xdr:to>
    <xdr:sp macro="[0]!Nova_Venda" textlink="">
      <xdr:nvSpPr>
        <xdr:cNvPr id="8" name="Retângulo 7">
          <a:extLst>
            <a:ext uri="{FF2B5EF4-FFF2-40B4-BE49-F238E27FC236}">
              <a16:creationId xmlns:a16="http://schemas.microsoft.com/office/drawing/2014/main" id="{0091E1E5-DD7A-41B2-8B5E-836C0C11F412}"/>
            </a:ext>
          </a:extLst>
        </xdr:cNvPr>
        <xdr:cNvSpPr/>
      </xdr:nvSpPr>
      <xdr:spPr>
        <a:xfrm>
          <a:off x="198120" y="1638300"/>
          <a:ext cx="1264403" cy="369332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Nova Venda</a:t>
          </a:r>
        </a:p>
      </xdr:txBody>
    </xdr:sp>
    <xdr:clientData/>
  </xdr:twoCellAnchor>
  <xdr:twoCellAnchor>
    <xdr:from>
      <xdr:col>0</xdr:col>
      <xdr:colOff>198121</xdr:colOff>
      <xdr:row>9</xdr:row>
      <xdr:rowOff>175260</xdr:rowOff>
    </xdr:from>
    <xdr:to>
      <xdr:col>0</xdr:col>
      <xdr:colOff>1455421</xdr:colOff>
      <xdr:row>12</xdr:row>
      <xdr:rowOff>0</xdr:rowOff>
    </xdr:to>
    <xdr:sp macro="[0]!Inserir_Produto" textlink="">
      <xdr:nvSpPr>
        <xdr:cNvPr id="9" name="Retângulo 8">
          <a:extLst>
            <a:ext uri="{FF2B5EF4-FFF2-40B4-BE49-F238E27FC236}">
              <a16:creationId xmlns:a16="http://schemas.microsoft.com/office/drawing/2014/main" id="{5F73EF8E-17F5-4372-ADB8-A633B339E946}"/>
            </a:ext>
          </a:extLst>
        </xdr:cNvPr>
        <xdr:cNvSpPr/>
      </xdr:nvSpPr>
      <xdr:spPr>
        <a:xfrm>
          <a:off x="198121" y="2217420"/>
          <a:ext cx="1257300" cy="37338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Inserir Produto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144780</xdr:rowOff>
    </xdr:from>
    <xdr:to>
      <xdr:col>2</xdr:col>
      <xdr:colOff>15240</xdr:colOff>
      <xdr:row>2</xdr:row>
      <xdr:rowOff>68580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EBC63B-8D7F-49CB-A322-368590C68DBB}"/>
            </a:ext>
          </a:extLst>
        </xdr:cNvPr>
        <xdr:cNvSpPr/>
      </xdr:nvSpPr>
      <xdr:spPr>
        <a:xfrm>
          <a:off x="1295400" y="144780"/>
          <a:ext cx="1478280" cy="28956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2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617220</xdr:colOff>
      <xdr:row>2</xdr:row>
      <xdr:rowOff>175260</xdr:rowOff>
    </xdr:from>
    <xdr:to>
      <xdr:col>15</xdr:col>
      <xdr:colOff>434340</xdr:colOff>
      <xdr:row>36</xdr:row>
      <xdr:rowOff>182880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CC825D-97DE-2D90-E644-AAE48AC47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247875</xdr:colOff>
      <xdr:row>59</xdr:row>
      <xdr:rowOff>97268</xdr:rowOff>
    </xdr:from>
    <xdr:to>
      <xdr:col>16</xdr:col>
      <xdr:colOff>249838</xdr:colOff>
      <xdr:row>88</xdr:row>
      <xdr:rowOff>152399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5A6CD8-E20A-A347-DFD6-1F23D2A3B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250115</xdr:colOff>
      <xdr:row>4</xdr:row>
      <xdr:rowOff>140300</xdr:rowOff>
    </xdr:from>
    <xdr:to>
      <xdr:col>16</xdr:col>
      <xdr:colOff>250115</xdr:colOff>
      <xdr:row>16</xdr:row>
      <xdr:rowOff>134472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ata 1">
              <a:extLst>
                <a:ext uri="{FF2B5EF4-FFF2-40B4-BE49-F238E27FC236}">
                  <a16:creationId xmlns:a16="http://schemas.microsoft.com/office/drawing/2014/main" id="{E813DB58-E9A8-5DED-68BF-6BF53CC5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72186" y="857476"/>
              <a:ext cx="1828800" cy="21457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510090</xdr:colOff>
      <xdr:row>61</xdr:row>
      <xdr:rowOff>47068</xdr:rowOff>
    </xdr:from>
    <xdr:to>
      <xdr:col>16</xdr:col>
      <xdr:colOff>510090</xdr:colOff>
      <xdr:row>69</xdr:row>
      <xdr:rowOff>125507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ntrega 1">
              <a:extLst>
                <a:ext uri="{FF2B5EF4-FFF2-40B4-BE49-F238E27FC236}">
                  <a16:creationId xmlns:a16="http://schemas.microsoft.com/office/drawing/2014/main" id="{E2C33B0F-24FE-57F9-74AC-437982D67A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eg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32161" y="11037797"/>
              <a:ext cx="1828800" cy="1656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1</xdr:row>
      <xdr:rowOff>45720</xdr:rowOff>
    </xdr:from>
    <xdr:to>
      <xdr:col>13</xdr:col>
      <xdr:colOff>7620</xdr:colOff>
      <xdr:row>1</xdr:row>
      <xdr:rowOff>320040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AC0626-C733-4DC0-94DC-304C16EE9537}"/>
            </a:ext>
          </a:extLst>
        </xdr:cNvPr>
        <xdr:cNvSpPr/>
      </xdr:nvSpPr>
      <xdr:spPr>
        <a:xfrm>
          <a:off x="12908280" y="228600"/>
          <a:ext cx="10820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10</xdr:col>
      <xdr:colOff>525780</xdr:colOff>
      <xdr:row>1</xdr:row>
      <xdr:rowOff>45720</xdr:rowOff>
    </xdr:from>
    <xdr:to>
      <xdr:col>11</xdr:col>
      <xdr:colOff>762000</xdr:colOff>
      <xdr:row>1</xdr:row>
      <xdr:rowOff>320040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071E85-4944-46D7-AA6E-F7A3314A4D26}"/>
            </a:ext>
          </a:extLst>
        </xdr:cNvPr>
        <xdr:cNvSpPr/>
      </xdr:nvSpPr>
      <xdr:spPr>
        <a:xfrm>
          <a:off x="11117580" y="228600"/>
          <a:ext cx="147828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Vendas</a:t>
          </a:r>
          <a:r>
            <a:rPr lang="en-GB" sz="1100" baseline="0"/>
            <a:t> do Mês</a:t>
          </a:r>
          <a:endParaRPr lang="en-GB" sz="1100"/>
        </a:p>
      </xdr:txBody>
    </xdr:sp>
    <xdr:clientData/>
  </xdr:twoCellAnchor>
  <xdr:twoCellAnchor>
    <xdr:from>
      <xdr:col>0</xdr:col>
      <xdr:colOff>289561</xdr:colOff>
      <xdr:row>3</xdr:row>
      <xdr:rowOff>0</xdr:rowOff>
    </xdr:from>
    <xdr:to>
      <xdr:col>0</xdr:col>
      <xdr:colOff>1562101</xdr:colOff>
      <xdr:row>5</xdr:row>
      <xdr:rowOff>144780</xdr:rowOff>
    </xdr:to>
    <xdr:sp macro="[0]!Excluir_Registro_Venda" textlink="">
      <xdr:nvSpPr>
        <xdr:cNvPr id="7" name="Retângulo 6">
          <a:extLst>
            <a:ext uri="{FF2B5EF4-FFF2-40B4-BE49-F238E27FC236}">
              <a16:creationId xmlns:a16="http://schemas.microsoft.com/office/drawing/2014/main" id="{14350B59-A42A-4F4A-AB24-EEDBFCD1901E}"/>
            </a:ext>
          </a:extLst>
        </xdr:cNvPr>
        <xdr:cNvSpPr/>
      </xdr:nvSpPr>
      <xdr:spPr>
        <a:xfrm>
          <a:off x="289561" y="944880"/>
          <a:ext cx="1272540" cy="51054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Excluir Registro de Venda</a:t>
          </a:r>
        </a:p>
      </xdr:txBody>
    </xdr:sp>
    <xdr:clientData/>
  </xdr:twoCellAnchor>
  <xdr:twoCellAnchor>
    <xdr:from>
      <xdr:col>0</xdr:col>
      <xdr:colOff>289560</xdr:colOff>
      <xdr:row>6</xdr:row>
      <xdr:rowOff>129540</xdr:rowOff>
    </xdr:from>
    <xdr:to>
      <xdr:col>0</xdr:col>
      <xdr:colOff>1553963</xdr:colOff>
      <xdr:row>8</xdr:row>
      <xdr:rowOff>133112</xdr:rowOff>
    </xdr:to>
    <xdr:sp macro="[0]!Nova_Venda" textlink="">
      <xdr:nvSpPr>
        <xdr:cNvPr id="8" name="Retângulo 7">
          <a:extLst>
            <a:ext uri="{FF2B5EF4-FFF2-40B4-BE49-F238E27FC236}">
              <a16:creationId xmlns:a16="http://schemas.microsoft.com/office/drawing/2014/main" id="{101FDEFE-ED49-48C7-8F9D-F4C37945131C}"/>
            </a:ext>
          </a:extLst>
        </xdr:cNvPr>
        <xdr:cNvSpPr/>
      </xdr:nvSpPr>
      <xdr:spPr>
        <a:xfrm>
          <a:off x="289560" y="1623060"/>
          <a:ext cx="1264403" cy="369332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Nova Venda</a:t>
          </a:r>
        </a:p>
      </xdr:txBody>
    </xdr:sp>
    <xdr:clientData/>
  </xdr:twoCellAnchor>
  <xdr:twoCellAnchor>
    <xdr:from>
      <xdr:col>0</xdr:col>
      <xdr:colOff>289561</xdr:colOff>
      <xdr:row>9</xdr:row>
      <xdr:rowOff>160020</xdr:rowOff>
    </xdr:from>
    <xdr:to>
      <xdr:col>0</xdr:col>
      <xdr:colOff>1546861</xdr:colOff>
      <xdr:row>11</xdr:row>
      <xdr:rowOff>167640</xdr:rowOff>
    </xdr:to>
    <xdr:sp macro="[0]!Inserir_Produto" textlink="">
      <xdr:nvSpPr>
        <xdr:cNvPr id="9" name="Retângulo 8">
          <a:extLst>
            <a:ext uri="{FF2B5EF4-FFF2-40B4-BE49-F238E27FC236}">
              <a16:creationId xmlns:a16="http://schemas.microsoft.com/office/drawing/2014/main" id="{BBF8A294-76D5-44C3-8E2B-ABF53B9E1AD9}"/>
            </a:ext>
          </a:extLst>
        </xdr:cNvPr>
        <xdr:cNvSpPr/>
      </xdr:nvSpPr>
      <xdr:spPr>
        <a:xfrm>
          <a:off x="289561" y="2202180"/>
          <a:ext cx="1257300" cy="37338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Inserir Produto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144780</xdr:rowOff>
    </xdr:from>
    <xdr:to>
      <xdr:col>2</xdr:col>
      <xdr:colOff>15240</xdr:colOff>
      <xdr:row>2</xdr:row>
      <xdr:rowOff>68580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BD75D0-F119-4252-B8B4-058F0BFCFE0B}"/>
            </a:ext>
          </a:extLst>
        </xdr:cNvPr>
        <xdr:cNvSpPr/>
      </xdr:nvSpPr>
      <xdr:spPr>
        <a:xfrm>
          <a:off x="1295400" y="144780"/>
          <a:ext cx="1478280" cy="28956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3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  <xdr:twoCellAnchor>
    <xdr:from>
      <xdr:col>5</xdr:col>
      <xdr:colOff>282387</xdr:colOff>
      <xdr:row>52</xdr:row>
      <xdr:rowOff>112058</xdr:rowOff>
    </xdr:from>
    <xdr:to>
      <xdr:col>18</xdr:col>
      <xdr:colOff>26896</xdr:colOff>
      <xdr:row>83</xdr:row>
      <xdr:rowOff>125506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B2D323E-C73E-1C85-A805-B7ADEADFCC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206190</xdr:colOff>
      <xdr:row>54</xdr:row>
      <xdr:rowOff>82925</xdr:rowOff>
    </xdr:from>
    <xdr:to>
      <xdr:col>18</xdr:col>
      <xdr:colOff>206190</xdr:colOff>
      <xdr:row>63</xdr:row>
      <xdr:rowOff>107577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Entrega 2">
              <a:extLst>
                <a:ext uri="{FF2B5EF4-FFF2-40B4-BE49-F238E27FC236}">
                  <a16:creationId xmlns:a16="http://schemas.microsoft.com/office/drawing/2014/main" id="{C8E7CED5-B363-690B-399C-EBA5669B90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eg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73719" y="9764807"/>
              <a:ext cx="1828800" cy="16382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452717</xdr:colOff>
      <xdr:row>2</xdr:row>
      <xdr:rowOff>156882</xdr:rowOff>
    </xdr:from>
    <xdr:to>
      <xdr:col>15</xdr:col>
      <xdr:colOff>430306</xdr:colOff>
      <xdr:row>34</xdr:row>
      <xdr:rowOff>143435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F3BADD-8717-D01E-F7BA-6561A8B761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330799</xdr:colOff>
      <xdr:row>4</xdr:row>
      <xdr:rowOff>99060</xdr:rowOff>
    </xdr:from>
    <xdr:to>
      <xdr:col>16</xdr:col>
      <xdr:colOff>330799</xdr:colOff>
      <xdr:row>16</xdr:row>
      <xdr:rowOff>134469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2">
              <a:extLst>
                <a:ext uri="{FF2B5EF4-FFF2-40B4-BE49-F238E27FC236}">
                  <a16:creationId xmlns:a16="http://schemas.microsoft.com/office/drawing/2014/main" id="{1092BD96-332A-1B75-7BD5-88311F78C4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79128" y="816236"/>
              <a:ext cx="1828800" cy="21869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266700</xdr:colOff>
      <xdr:row>1</xdr:row>
      <xdr:rowOff>60960</xdr:rowOff>
    </xdr:from>
    <xdr:to>
      <xdr:col>13</xdr:col>
      <xdr:colOff>0</xdr:colOff>
      <xdr:row>1</xdr:row>
      <xdr:rowOff>335280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DB2D89-819F-46A9-A051-BA61B0927B1F}"/>
            </a:ext>
          </a:extLst>
        </xdr:cNvPr>
        <xdr:cNvSpPr/>
      </xdr:nvSpPr>
      <xdr:spPr>
        <a:xfrm>
          <a:off x="12961620" y="243840"/>
          <a:ext cx="10820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10</xdr:col>
      <xdr:colOff>518160</xdr:colOff>
      <xdr:row>1</xdr:row>
      <xdr:rowOff>60960</xdr:rowOff>
    </xdr:from>
    <xdr:to>
      <xdr:col>11</xdr:col>
      <xdr:colOff>914400</xdr:colOff>
      <xdr:row>1</xdr:row>
      <xdr:rowOff>335280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C6C47E-C38B-424E-8514-E52007DD70A6}"/>
            </a:ext>
          </a:extLst>
        </xdr:cNvPr>
        <xdr:cNvSpPr/>
      </xdr:nvSpPr>
      <xdr:spPr>
        <a:xfrm>
          <a:off x="11071860" y="243840"/>
          <a:ext cx="15773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Vendas</a:t>
          </a:r>
          <a:r>
            <a:rPr lang="en-GB" sz="1100" baseline="0"/>
            <a:t> do Mês</a:t>
          </a:r>
          <a:endParaRPr lang="en-GB" sz="1100"/>
        </a:p>
      </xdr:txBody>
    </xdr:sp>
    <xdr:clientData/>
  </xdr:twoCellAnchor>
  <xdr:twoCellAnchor>
    <xdr:from>
      <xdr:col>0</xdr:col>
      <xdr:colOff>38101</xdr:colOff>
      <xdr:row>3</xdr:row>
      <xdr:rowOff>7620</xdr:rowOff>
    </xdr:from>
    <xdr:to>
      <xdr:col>0</xdr:col>
      <xdr:colOff>1310641</xdr:colOff>
      <xdr:row>5</xdr:row>
      <xdr:rowOff>152400</xdr:rowOff>
    </xdr:to>
    <xdr:sp macro="[0]!Excluir_Registro_Venda" textlink="">
      <xdr:nvSpPr>
        <xdr:cNvPr id="7" name="Retângulo 6">
          <a:extLst>
            <a:ext uri="{FF2B5EF4-FFF2-40B4-BE49-F238E27FC236}">
              <a16:creationId xmlns:a16="http://schemas.microsoft.com/office/drawing/2014/main" id="{14F77C02-81AF-4447-96FE-9591012E98FB}"/>
            </a:ext>
          </a:extLst>
        </xdr:cNvPr>
        <xdr:cNvSpPr/>
      </xdr:nvSpPr>
      <xdr:spPr>
        <a:xfrm>
          <a:off x="38101" y="952500"/>
          <a:ext cx="1272540" cy="51054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Excluir Registro de Venda</a:t>
          </a:r>
        </a:p>
      </xdr:txBody>
    </xdr:sp>
    <xdr:clientData/>
  </xdr:twoCellAnchor>
  <xdr:twoCellAnchor>
    <xdr:from>
      <xdr:col>0</xdr:col>
      <xdr:colOff>38100</xdr:colOff>
      <xdr:row>6</xdr:row>
      <xdr:rowOff>137160</xdr:rowOff>
    </xdr:from>
    <xdr:to>
      <xdr:col>0</xdr:col>
      <xdr:colOff>1302503</xdr:colOff>
      <xdr:row>8</xdr:row>
      <xdr:rowOff>140732</xdr:rowOff>
    </xdr:to>
    <xdr:sp macro="[0]!Nova_Venda" textlink="">
      <xdr:nvSpPr>
        <xdr:cNvPr id="8" name="Retângulo 7">
          <a:extLst>
            <a:ext uri="{FF2B5EF4-FFF2-40B4-BE49-F238E27FC236}">
              <a16:creationId xmlns:a16="http://schemas.microsoft.com/office/drawing/2014/main" id="{64C64936-2057-43E3-8EF3-C411E06505AC}"/>
            </a:ext>
          </a:extLst>
        </xdr:cNvPr>
        <xdr:cNvSpPr/>
      </xdr:nvSpPr>
      <xdr:spPr>
        <a:xfrm>
          <a:off x="38100" y="1630680"/>
          <a:ext cx="1264403" cy="369332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Nova Venda</a:t>
          </a:r>
        </a:p>
      </xdr:txBody>
    </xdr:sp>
    <xdr:clientData/>
  </xdr:twoCellAnchor>
  <xdr:twoCellAnchor>
    <xdr:from>
      <xdr:col>0</xdr:col>
      <xdr:colOff>38101</xdr:colOff>
      <xdr:row>9</xdr:row>
      <xdr:rowOff>167640</xdr:rowOff>
    </xdr:from>
    <xdr:to>
      <xdr:col>0</xdr:col>
      <xdr:colOff>1295401</xdr:colOff>
      <xdr:row>11</xdr:row>
      <xdr:rowOff>175260</xdr:rowOff>
    </xdr:to>
    <xdr:sp macro="[0]!Inserir_Produto" textlink="">
      <xdr:nvSpPr>
        <xdr:cNvPr id="9" name="Retângulo 8">
          <a:extLst>
            <a:ext uri="{FF2B5EF4-FFF2-40B4-BE49-F238E27FC236}">
              <a16:creationId xmlns:a16="http://schemas.microsoft.com/office/drawing/2014/main" id="{6427665D-1828-44EF-9674-C63137F350B8}"/>
            </a:ext>
          </a:extLst>
        </xdr:cNvPr>
        <xdr:cNvSpPr/>
      </xdr:nvSpPr>
      <xdr:spPr>
        <a:xfrm>
          <a:off x="38101" y="2209800"/>
          <a:ext cx="1257300" cy="37338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Inserir Produto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144780</xdr:rowOff>
    </xdr:from>
    <xdr:to>
      <xdr:col>2</xdr:col>
      <xdr:colOff>15240</xdr:colOff>
      <xdr:row>2</xdr:row>
      <xdr:rowOff>68580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54DDB2-3365-450B-B1A0-39D2A0B790EC}"/>
            </a:ext>
          </a:extLst>
        </xdr:cNvPr>
        <xdr:cNvSpPr/>
      </xdr:nvSpPr>
      <xdr:spPr>
        <a:xfrm>
          <a:off x="1295400" y="144780"/>
          <a:ext cx="1295400" cy="28956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4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416857</xdr:colOff>
      <xdr:row>2</xdr:row>
      <xdr:rowOff>156881</xdr:rowOff>
    </xdr:from>
    <xdr:to>
      <xdr:col>15</xdr:col>
      <xdr:colOff>17929</xdr:colOff>
      <xdr:row>36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DF0BC33-CCC0-D16A-E4F0-A4C7BD7AE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456302</xdr:colOff>
      <xdr:row>4</xdr:row>
      <xdr:rowOff>140297</xdr:rowOff>
    </xdr:from>
    <xdr:to>
      <xdr:col>15</xdr:col>
      <xdr:colOff>456302</xdr:colOff>
      <xdr:row>16</xdr:row>
      <xdr:rowOff>179293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a 3">
              <a:extLst>
                <a:ext uri="{FF2B5EF4-FFF2-40B4-BE49-F238E27FC236}">
                  <a16:creationId xmlns:a16="http://schemas.microsoft.com/office/drawing/2014/main" id="{2CF72009-D35D-4E2D-980B-5D2802362A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46043" y="857473"/>
              <a:ext cx="1828800" cy="2190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667870</xdr:colOff>
      <xdr:row>53</xdr:row>
      <xdr:rowOff>147918</xdr:rowOff>
    </xdr:from>
    <xdr:to>
      <xdr:col>17</xdr:col>
      <xdr:colOff>78949</xdr:colOff>
      <xdr:row>82</xdr:row>
      <xdr:rowOff>26894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2921A80-EF3F-E0DA-6D5A-AA993FACF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312869</xdr:colOff>
      <xdr:row>55</xdr:row>
      <xdr:rowOff>108026</xdr:rowOff>
    </xdr:from>
    <xdr:to>
      <xdr:col>17</xdr:col>
      <xdr:colOff>312869</xdr:colOff>
      <xdr:row>63</xdr:row>
      <xdr:rowOff>71719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ntrega 3">
              <a:extLst>
                <a:ext uri="{FF2B5EF4-FFF2-40B4-BE49-F238E27FC236}">
                  <a16:creationId xmlns:a16="http://schemas.microsoft.com/office/drawing/2014/main" id="{02D6FB32-C5B7-FC5D-7916-3923F077D7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eg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21810" y="9969202"/>
              <a:ext cx="1828800" cy="13980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3</xdr:row>
      <xdr:rowOff>0</xdr:rowOff>
    </xdr:from>
    <xdr:to>
      <xdr:col>0</xdr:col>
      <xdr:colOff>1356360</xdr:colOff>
      <xdr:row>5</xdr:row>
      <xdr:rowOff>144780</xdr:rowOff>
    </xdr:to>
    <xdr:sp macro="[0]!Excluir_Registro_Venda" textlink="">
      <xdr:nvSpPr>
        <xdr:cNvPr id="2" name="Retângulo 1">
          <a:extLst>
            <a:ext uri="{FF2B5EF4-FFF2-40B4-BE49-F238E27FC236}">
              <a16:creationId xmlns:a16="http://schemas.microsoft.com/office/drawing/2014/main" id="{3577D3EC-B422-49A7-8AE8-3BE44095226B}"/>
            </a:ext>
          </a:extLst>
        </xdr:cNvPr>
        <xdr:cNvSpPr/>
      </xdr:nvSpPr>
      <xdr:spPr>
        <a:xfrm>
          <a:off x="83820" y="944880"/>
          <a:ext cx="1272540" cy="51054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Excluir Registro de Venda</a:t>
          </a:r>
        </a:p>
      </xdr:txBody>
    </xdr:sp>
    <xdr:clientData/>
  </xdr:twoCellAnchor>
  <xdr:twoCellAnchor>
    <xdr:from>
      <xdr:col>0</xdr:col>
      <xdr:colOff>83819</xdr:colOff>
      <xdr:row>6</xdr:row>
      <xdr:rowOff>129540</xdr:rowOff>
    </xdr:from>
    <xdr:to>
      <xdr:col>0</xdr:col>
      <xdr:colOff>1348222</xdr:colOff>
      <xdr:row>8</xdr:row>
      <xdr:rowOff>133112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90AB6C8D-AD10-4FE6-B3CC-A8319C5C9438}"/>
            </a:ext>
          </a:extLst>
        </xdr:cNvPr>
        <xdr:cNvSpPr/>
      </xdr:nvSpPr>
      <xdr:spPr>
        <a:xfrm>
          <a:off x="83819" y="1623060"/>
          <a:ext cx="1264403" cy="369332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Nova Venda</a:t>
          </a:r>
        </a:p>
      </xdr:txBody>
    </xdr:sp>
    <xdr:clientData/>
  </xdr:twoCellAnchor>
  <xdr:twoCellAnchor>
    <xdr:from>
      <xdr:col>0</xdr:col>
      <xdr:colOff>83820</xdr:colOff>
      <xdr:row>9</xdr:row>
      <xdr:rowOff>160020</xdr:rowOff>
    </xdr:from>
    <xdr:to>
      <xdr:col>0</xdr:col>
      <xdr:colOff>1341120</xdr:colOff>
      <xdr:row>11</xdr:row>
      <xdr:rowOff>167640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7C9CF57B-34BA-4F5E-B7C1-EDF73FBBC687}"/>
            </a:ext>
          </a:extLst>
        </xdr:cNvPr>
        <xdr:cNvSpPr/>
      </xdr:nvSpPr>
      <xdr:spPr>
        <a:xfrm>
          <a:off x="83820" y="2202180"/>
          <a:ext cx="1257300" cy="37338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Inserir Produto</a:t>
          </a:r>
        </a:p>
      </xdr:txBody>
    </xdr:sp>
    <xdr:clientData/>
  </xdr:twoCellAnchor>
  <xdr:twoCellAnchor>
    <xdr:from>
      <xdr:col>13</xdr:col>
      <xdr:colOff>342900</xdr:colOff>
      <xdr:row>1</xdr:row>
      <xdr:rowOff>38100</xdr:rowOff>
    </xdr:from>
    <xdr:to>
      <xdr:col>13</xdr:col>
      <xdr:colOff>1424940</xdr:colOff>
      <xdr:row>1</xdr:row>
      <xdr:rowOff>312420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22770C-C8A7-4E6B-865B-612916FDA047}"/>
            </a:ext>
          </a:extLst>
        </xdr:cNvPr>
        <xdr:cNvSpPr/>
      </xdr:nvSpPr>
      <xdr:spPr>
        <a:xfrm>
          <a:off x="12915900" y="220980"/>
          <a:ext cx="10820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Menu</a:t>
          </a:r>
        </a:p>
        <a:p>
          <a:pPr algn="ctr"/>
          <a:endParaRPr lang="en-GB" sz="1100"/>
        </a:p>
      </xdr:txBody>
    </xdr:sp>
    <xdr:clientData/>
  </xdr:twoCellAnchor>
  <xdr:twoCellAnchor>
    <xdr:from>
      <xdr:col>12</xdr:col>
      <xdr:colOff>45720</xdr:colOff>
      <xdr:row>1</xdr:row>
      <xdr:rowOff>38100</xdr:rowOff>
    </xdr:from>
    <xdr:to>
      <xdr:col>12</xdr:col>
      <xdr:colOff>1127760</xdr:colOff>
      <xdr:row>1</xdr:row>
      <xdr:rowOff>312420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FB4068-4660-4DB1-A6D3-4FC4EC5C3E20}"/>
            </a:ext>
          </a:extLst>
        </xdr:cNvPr>
        <xdr:cNvSpPr/>
      </xdr:nvSpPr>
      <xdr:spPr>
        <a:xfrm>
          <a:off x="11163300" y="220980"/>
          <a:ext cx="1082040" cy="27432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Vendas</a:t>
          </a:r>
          <a:r>
            <a:rPr lang="en-GB" sz="1100" baseline="0"/>
            <a:t> do Mês</a:t>
          </a:r>
          <a:endParaRPr lang="en-GB" sz="1100"/>
        </a:p>
      </xdr:txBody>
    </xdr:sp>
    <xdr:clientData/>
  </xdr:twoCellAnchor>
  <xdr:twoCellAnchor>
    <xdr:from>
      <xdr:col>0</xdr:col>
      <xdr:colOff>106680</xdr:colOff>
      <xdr:row>3</xdr:row>
      <xdr:rowOff>7620</xdr:rowOff>
    </xdr:from>
    <xdr:to>
      <xdr:col>0</xdr:col>
      <xdr:colOff>1379220</xdr:colOff>
      <xdr:row>5</xdr:row>
      <xdr:rowOff>152400</xdr:rowOff>
    </xdr:to>
    <xdr:sp macro="[0]!Excluir_Registro_Venda" textlink="">
      <xdr:nvSpPr>
        <xdr:cNvPr id="7" name="Retângulo 6">
          <a:extLst>
            <a:ext uri="{FF2B5EF4-FFF2-40B4-BE49-F238E27FC236}">
              <a16:creationId xmlns:a16="http://schemas.microsoft.com/office/drawing/2014/main" id="{23594FB4-096E-4D78-6801-A06C76180179}"/>
            </a:ext>
          </a:extLst>
        </xdr:cNvPr>
        <xdr:cNvSpPr/>
      </xdr:nvSpPr>
      <xdr:spPr>
        <a:xfrm>
          <a:off x="106680" y="952500"/>
          <a:ext cx="1272540" cy="51054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Excluir Registro de Venda</a:t>
          </a:r>
        </a:p>
      </xdr:txBody>
    </xdr:sp>
    <xdr:clientData/>
  </xdr:twoCellAnchor>
  <xdr:twoCellAnchor>
    <xdr:from>
      <xdr:col>0</xdr:col>
      <xdr:colOff>106679</xdr:colOff>
      <xdr:row>6</xdr:row>
      <xdr:rowOff>137160</xdr:rowOff>
    </xdr:from>
    <xdr:to>
      <xdr:col>0</xdr:col>
      <xdr:colOff>1371082</xdr:colOff>
      <xdr:row>8</xdr:row>
      <xdr:rowOff>140732</xdr:rowOff>
    </xdr:to>
    <xdr:sp macro="[0]!Nova_Venda" textlink="">
      <xdr:nvSpPr>
        <xdr:cNvPr id="8" name="Retângulo 7">
          <a:extLst>
            <a:ext uri="{FF2B5EF4-FFF2-40B4-BE49-F238E27FC236}">
              <a16:creationId xmlns:a16="http://schemas.microsoft.com/office/drawing/2014/main" id="{72F2D769-BB63-4374-330F-79BCC8880B60}"/>
            </a:ext>
          </a:extLst>
        </xdr:cNvPr>
        <xdr:cNvSpPr/>
      </xdr:nvSpPr>
      <xdr:spPr>
        <a:xfrm>
          <a:off x="106679" y="1630680"/>
          <a:ext cx="1264403" cy="369332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Nova Venda</a:t>
          </a:r>
        </a:p>
      </xdr:txBody>
    </xdr:sp>
    <xdr:clientData/>
  </xdr:twoCellAnchor>
  <xdr:twoCellAnchor>
    <xdr:from>
      <xdr:col>0</xdr:col>
      <xdr:colOff>106680</xdr:colOff>
      <xdr:row>9</xdr:row>
      <xdr:rowOff>167640</xdr:rowOff>
    </xdr:from>
    <xdr:to>
      <xdr:col>0</xdr:col>
      <xdr:colOff>1363980</xdr:colOff>
      <xdr:row>11</xdr:row>
      <xdr:rowOff>175260</xdr:rowOff>
    </xdr:to>
    <xdr:sp macro="[0]!Inserir_Produto" textlink="">
      <xdr:nvSpPr>
        <xdr:cNvPr id="9" name="Retângulo 8">
          <a:extLst>
            <a:ext uri="{FF2B5EF4-FFF2-40B4-BE49-F238E27FC236}">
              <a16:creationId xmlns:a16="http://schemas.microsoft.com/office/drawing/2014/main" id="{C9C0EE2B-8030-3571-6AAD-C40D53A510AA}"/>
            </a:ext>
          </a:extLst>
        </xdr:cNvPr>
        <xdr:cNvSpPr/>
      </xdr:nvSpPr>
      <xdr:spPr>
        <a:xfrm>
          <a:off x="106680" y="2209800"/>
          <a:ext cx="1257300" cy="37338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Inserir Produto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144780</xdr:rowOff>
    </xdr:from>
    <xdr:to>
      <xdr:col>2</xdr:col>
      <xdr:colOff>15240</xdr:colOff>
      <xdr:row>2</xdr:row>
      <xdr:rowOff>68580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38ECDC-4F8D-4DDB-94CC-B9ABC4EE8B97}"/>
            </a:ext>
          </a:extLst>
        </xdr:cNvPr>
        <xdr:cNvSpPr/>
      </xdr:nvSpPr>
      <xdr:spPr>
        <a:xfrm>
          <a:off x="1295400" y="144780"/>
          <a:ext cx="1295400" cy="289560"/>
        </a:xfrm>
        <a:prstGeom prst="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accent6"/>
              </a:solidFill>
            </a:rPr>
            <a:t>Semana</a:t>
          </a:r>
          <a:r>
            <a:rPr lang="en-GB" sz="1200" b="0" baseline="0">
              <a:solidFill>
                <a:schemeClr val="accent6"/>
              </a:solidFill>
            </a:rPr>
            <a:t> 5</a:t>
          </a:r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  <a:p>
          <a:pPr algn="ctr"/>
          <a:endParaRPr lang="en-GB" sz="1200" b="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318246</xdr:colOff>
      <xdr:row>2</xdr:row>
      <xdr:rowOff>174811</xdr:rowOff>
    </xdr:from>
    <xdr:to>
      <xdr:col>15</xdr:col>
      <xdr:colOff>162325</xdr:colOff>
      <xdr:row>37</xdr:row>
      <xdr:rowOff>8964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BE07895-579A-9AE5-9532-DA009537A6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590774</xdr:colOff>
      <xdr:row>4</xdr:row>
      <xdr:rowOff>167192</xdr:rowOff>
    </xdr:from>
    <xdr:to>
      <xdr:col>15</xdr:col>
      <xdr:colOff>590774</xdr:colOff>
      <xdr:row>17</xdr:row>
      <xdr:rowOff>8963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a 4">
              <a:extLst>
                <a:ext uri="{FF2B5EF4-FFF2-40B4-BE49-F238E27FC236}">
                  <a16:creationId xmlns:a16="http://schemas.microsoft.com/office/drawing/2014/main" id="{7F85BC11-A0C9-EF30-EF54-EB9E617740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47433" y="884368"/>
              <a:ext cx="1828800" cy="2172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282388</xdr:colOff>
      <xdr:row>54</xdr:row>
      <xdr:rowOff>174811</xdr:rowOff>
    </xdr:from>
    <xdr:to>
      <xdr:col>16</xdr:col>
      <xdr:colOff>448235</xdr:colOff>
      <xdr:row>85</xdr:row>
      <xdr:rowOff>158968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073E21-7534-ECEB-9C53-8B9587E4C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70822</xdr:colOff>
      <xdr:row>56</xdr:row>
      <xdr:rowOff>172570</xdr:rowOff>
    </xdr:from>
    <xdr:to>
      <xdr:col>17</xdr:col>
      <xdr:colOff>70822</xdr:colOff>
      <xdr:row>66</xdr:row>
      <xdr:rowOff>35858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ntrega 4">
              <a:extLst>
                <a:ext uri="{FF2B5EF4-FFF2-40B4-BE49-F238E27FC236}">
                  <a16:creationId xmlns:a16="http://schemas.microsoft.com/office/drawing/2014/main" id="{BA3DECF9-5E56-CEFB-0E9E-F473681E5F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eg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46681" y="10213041"/>
              <a:ext cx="1828800" cy="1656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dro Evaristo" id="{E2F4522E-5707-4352-9EA5-834821816FC4}" userId="38047e033ba543d5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Evaristo" refreshedDate="45892.470700347221" createdVersion="8" refreshedVersion="8" minRefreshableVersion="3" recordCount="25" xr:uid="{676EBEC0-3597-4F92-9F8F-73F3FBAD459F}">
  <cacheSource type="worksheet">
    <worksheetSource name="Semana5"/>
  </cacheSource>
  <cacheFields count="12">
    <cacheField name="ID da Venda" numFmtId="0">
      <sharedItems containsSemiMixedTypes="0" containsString="0" containsNumber="1" containsInteger="1" minValue="1" maxValue="7"/>
    </cacheField>
    <cacheField name="Data" numFmtId="14">
      <sharedItems containsSemiMixedTypes="0" containsNonDate="0" containsDate="1" containsString="0" minDate="2025-07-02T00:00:00" maxDate="2025-09-01T00:00:00" count="11"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7-05T00:00:00" u="1"/>
        <d v="2025-07-04T00:00:00" u="1"/>
        <d v="2025-07-03T00:00:00" u="1"/>
        <d v="2025-07-02T00:00:00" u="1"/>
      </sharedItems>
    </cacheField>
    <cacheField name="Produto" numFmtId="0">
      <sharedItems containsBlank="1" count="18">
        <s v="Frango"/>
        <s v="Pão de Forma"/>
        <s v="Cerveja"/>
        <s v="Suco"/>
        <s v="Couve"/>
        <s v="Barra de Cereal"/>
        <s v="Cigarro"/>
        <s v="Vagem"/>
        <s v="Refrigerante"/>
        <s v="Leite"/>
        <s v="Carne"/>
        <s v="Arroz"/>
        <s v="Feijão"/>
        <s v="Bala"/>
        <s v="Queijo"/>
        <s v="Vinho"/>
        <s v="Vodka"/>
        <m u="1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5" maxValue="560"/>
    </cacheField>
    <cacheField name="Preço Unitário" numFmtId="44">
      <sharedItems containsSemiMixedTypes="0" containsString="0" containsNumber="1" minValue="1.35" maxValue="58"/>
    </cacheField>
    <cacheField name="Subtotal" numFmtId="44">
      <sharedItems containsSemiMixedTypes="0" containsString="0" containsNumber="1" minValue="94.5" maxValue="10904"/>
    </cacheField>
    <cacheField name="Desconto" numFmtId="9">
      <sharedItems containsString="0" containsBlank="1" containsNumber="1" minValue="0.01" maxValue="0.08"/>
    </cacheField>
    <cacheField name="Entrega" numFmtId="0">
      <sharedItems containsBlank="1" count="6">
        <s v="Zona Norte"/>
        <s v="Zona Sul"/>
        <s v="Zona Oeste"/>
        <s v="Loja"/>
        <s v="Centro"/>
        <m u="1"/>
      </sharedItems>
    </cacheField>
    <cacheField name="Taxa de Entrega" numFmtId="44">
      <sharedItems containsSemiMixedTypes="0" containsString="0" containsNumber="1" containsInteger="1" minValue="0" maxValue="210"/>
    </cacheField>
    <cacheField name="Total" numFmtId="44">
      <sharedItems containsSemiMixedTypes="0" containsString="0" containsNumber="1" minValue="94.5" maxValue="11004.96"/>
    </cacheField>
    <cacheField name="Total para o Cliente" numFmtId="44">
      <sharedItems containsMixedTypes="1" containsNumber="1" minValue="658.48" maxValue="26944.25"/>
    </cacheField>
  </cacheFields>
  <extLst>
    <ext xmlns:x14="http://schemas.microsoft.com/office/spreadsheetml/2009/9/main" uri="{725AE2AE-9491-48be-B2B4-4EB974FC3084}">
      <x14:pivotCacheDefinition pivotCacheId="178522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Evaristo" refreshedDate="45892.470700810183" createdVersion="8" refreshedVersion="8" minRefreshableVersion="3" recordCount="15" xr:uid="{3120268E-C2F4-44C2-8427-66141806F8A0}">
  <cacheSource type="worksheet">
    <worksheetSource name="Semana1"/>
  </cacheSource>
  <cacheFields count="12">
    <cacheField name="ID da Venda" numFmtId="0">
      <sharedItems containsSemiMixedTypes="0" containsString="0" containsNumber="1" containsInteger="1" minValue="1" maxValue="4"/>
    </cacheField>
    <cacheField name="Data" numFmtId="14">
      <sharedItems containsSemiMixedTypes="0" containsNonDate="0" containsDate="1" containsString="0" minDate="2025-07-02T00:00:00" maxDate="2025-08-04T00:00:00" count="7">
        <d v="2025-08-03T00:00:00"/>
        <d v="2025-08-02T00:00:00"/>
        <d v="2025-08-01T00:00:00"/>
        <d v="2025-07-05T00:00:00" u="1"/>
        <d v="2025-07-04T00:00:00" u="1"/>
        <d v="2025-07-03T00:00:00" u="1"/>
        <d v="2025-07-02T00:00:00" u="1"/>
      </sharedItems>
    </cacheField>
    <cacheField name="Produto" numFmtId="0">
      <sharedItems containsBlank="1" count="20">
        <s v="Carne"/>
        <s v="Arroz"/>
        <s v="Feijão"/>
        <s v="Leite"/>
        <s v="Refrigerante"/>
        <s v="Tomate"/>
        <s v="Pão de Forma"/>
        <s v="Queijo"/>
        <s v="Suco"/>
        <s v="Frango"/>
        <s v="Vinho"/>
        <s v="Cerveja"/>
        <s v="Couve"/>
        <s v="Chocolate"/>
        <m u="1"/>
        <s v="Caixa de Fósforo" u="1"/>
        <s v="Vagem" u="1"/>
        <s v="Alface" u="1"/>
        <s v="Bala" u="1"/>
        <s v="Amendoim" u="1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5" maxValue="300"/>
    </cacheField>
    <cacheField name="Preço Unitário" numFmtId="44">
      <sharedItems containsSemiMixedTypes="0" containsString="0" containsNumber="1" minValue="2.65" maxValue="33.5"/>
    </cacheField>
    <cacheField name="Subtotal" numFmtId="44">
      <sharedItems containsSemiMixedTypes="0" containsString="0" containsNumber="1" minValue="87.8" maxValue="7879.5"/>
    </cacheField>
    <cacheField name="Desconto" numFmtId="9">
      <sharedItems containsString="0" containsBlank="1" containsNumber="1" minValue="0.05" maxValue="0.1"/>
    </cacheField>
    <cacheField name="Entrega" numFmtId="0">
      <sharedItems containsBlank="1" count="6">
        <s v="Centro"/>
        <s v="Loja"/>
        <s v="Zona Norte"/>
        <s v="Zona Sul"/>
        <s v="Zona Oeste" u="1"/>
        <m u="1"/>
      </sharedItems>
    </cacheField>
    <cacheField name="Taxa de Entrega" numFmtId="44">
      <sharedItems containsSemiMixedTypes="0" containsString="0" containsNumber="1" containsInteger="1" minValue="0" maxValue="190"/>
    </cacheField>
    <cacheField name="Total" numFmtId="44">
      <sharedItems containsSemiMixedTypes="0" containsString="0" containsNumber="1" minValue="87.8" maxValue="7091.55"/>
    </cacheField>
    <cacheField name="Total para o Cliente" numFmtId="44">
      <sharedItems containsMixedTypes="1" containsNumber="1" minValue="189.8" maxValue="12065.349999999999"/>
    </cacheField>
  </cacheFields>
  <extLst>
    <ext xmlns:x14="http://schemas.microsoft.com/office/spreadsheetml/2009/9/main" uri="{725AE2AE-9491-48be-B2B4-4EB974FC3084}">
      <x14:pivotCacheDefinition pivotCacheId="193638050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Evaristo" refreshedDate="45892.470701273145" createdVersion="8" refreshedVersion="8" minRefreshableVersion="3" recordCount="25" xr:uid="{26FB1B56-0507-41A8-89D0-5212DC3B6027}">
  <cacheSource type="worksheet">
    <worksheetSource name="Semana3"/>
  </cacheSource>
  <cacheFields count="12">
    <cacheField name="ID da Venda" numFmtId="0">
      <sharedItems containsSemiMixedTypes="0" containsString="0" containsNumber="1" containsInteger="1" minValue="1" maxValue="7"/>
    </cacheField>
    <cacheField name="Data" numFmtId="14">
      <sharedItems containsSemiMixedTypes="0" containsNonDate="0" containsDate="1" containsString="0" minDate="2025-07-02T00:00:00" maxDate="2025-08-18T00:00:00" count="11"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7-05T00:00:00" u="1"/>
        <d v="2025-07-04T00:00:00" u="1"/>
        <d v="2025-07-03T00:00:00" u="1"/>
        <d v="2025-07-02T00:00:00" u="1"/>
      </sharedItems>
    </cacheField>
    <cacheField name="Produto" numFmtId="0">
      <sharedItems containsBlank="1" count="21">
        <s v="Frango"/>
        <s v="Pão de Forma"/>
        <s v="Bala"/>
        <s v="Amendoim"/>
        <s v="Suco"/>
        <s v="Caixa de Fósforo"/>
        <s v="Cenoura"/>
        <s v="Cigarro"/>
        <s v="Carne"/>
        <s v="Couve"/>
        <s v="Cerveja"/>
        <s v="Tomate"/>
        <s v="Leite"/>
        <s v="Arroz"/>
        <s v="Alface"/>
        <s v="Barra de Cereal"/>
        <s v="Refrigerante"/>
        <s v="Queijo"/>
        <s v="Feijão"/>
        <s v="Vodka"/>
        <m u="1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5" maxValue="520"/>
    </cacheField>
    <cacheField name="Preço Unitário" numFmtId="44">
      <sharedItems containsSemiMixedTypes="0" containsString="0" containsNumber="1" minValue="0.95" maxValue="58"/>
    </cacheField>
    <cacheField name="Subtotal" numFmtId="44">
      <sharedItems containsSemiMixedTypes="0" containsString="0" containsNumber="1" minValue="43.5" maxValue="11020"/>
    </cacheField>
    <cacheField name="Desconto" numFmtId="9">
      <sharedItems containsString="0" containsBlank="1" containsNumber="1" minValue="0.03" maxValue="0.2"/>
    </cacheField>
    <cacheField name="Entrega" numFmtId="0">
      <sharedItems containsBlank="1" count="6">
        <s v="Zona Norte"/>
        <s v="Zona Sul"/>
        <s v="Loja"/>
        <s v="Centro"/>
        <s v="Zona Oeste"/>
        <m u="1"/>
      </sharedItems>
    </cacheField>
    <cacheField name="Taxa de Entrega" numFmtId="44">
      <sharedItems containsSemiMixedTypes="0" containsString="0" containsNumber="1" containsInteger="1" minValue="0" maxValue="210"/>
    </cacheField>
    <cacheField name="Total" numFmtId="44">
      <sharedItems containsSemiMixedTypes="0" containsString="0" containsNumber="1" minValue="43.5" maxValue="10689.4"/>
    </cacheField>
    <cacheField name="Total para o Cliente" numFmtId="44">
      <sharedItems containsMixedTypes="1" containsNumber="1" minValue="624" maxValue="20444.7"/>
    </cacheField>
  </cacheFields>
  <extLst>
    <ext xmlns:x14="http://schemas.microsoft.com/office/spreadsheetml/2009/9/main" uri="{725AE2AE-9491-48be-B2B4-4EB974FC3084}">
      <x14:pivotCacheDefinition pivotCacheId="24785006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Evaristo" refreshedDate="45892.47070150463" createdVersion="8" refreshedVersion="8" minRefreshableVersion="3" recordCount="25" xr:uid="{11A81B2E-B6C4-474B-A341-B68A2E9DCE2A}">
  <cacheSource type="worksheet">
    <worksheetSource name="Semana2"/>
  </cacheSource>
  <cacheFields count="12">
    <cacheField name="ID da Venda" numFmtId="0">
      <sharedItems containsSemiMixedTypes="0" containsString="0" containsNumber="1" containsInteger="1" minValue="1" maxValue="7"/>
    </cacheField>
    <cacheField name="Data" numFmtId="14">
      <sharedItems containsSemiMixedTypes="0" containsNonDate="0" containsDate="1" containsString="0" minDate="2025-07-02T00:00:00" maxDate="2025-08-11T00:00:00" count="11"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7-05T00:00:00" u="1"/>
        <d v="2025-07-04T00:00:00" u="1"/>
        <d v="2025-07-03T00:00:00" u="1"/>
        <d v="2025-07-02T00:00:00" u="1"/>
      </sharedItems>
    </cacheField>
    <cacheField name="Produto" numFmtId="0">
      <sharedItems containsBlank="1" count="17">
        <s v="Suco"/>
        <s v="Alface"/>
        <s v="Chocolate"/>
        <s v="Queijo"/>
        <s v="Carne"/>
        <s v="Arroz"/>
        <s v="Peixe"/>
        <s v="Leite"/>
        <s v="Frango"/>
        <s v="Refrigerante"/>
        <s v="Tomate"/>
        <s v="Pão de Forma"/>
        <s v="Cerveja"/>
        <s v="Cigarro"/>
        <s v="Vagem"/>
        <s v="Vodka"/>
        <m u="1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5" maxValue="429"/>
    </cacheField>
    <cacheField name="Preço Unitário" numFmtId="44">
      <sharedItems containsSemiMixedTypes="0" containsString="0" containsNumber="1" minValue="2.65" maxValue="58"/>
    </cacheField>
    <cacheField name="Subtotal" numFmtId="44">
      <sharedItems containsSemiMixedTypes="0" containsString="0" containsNumber="1" minValue="136.25" maxValue="8174"/>
    </cacheField>
    <cacheField name="Desconto" numFmtId="9">
      <sharedItems containsString="0" containsBlank="1" containsNumber="1" minValue="0.02" maxValue="0.2"/>
    </cacheField>
    <cacheField name="Entrega" numFmtId="0">
      <sharedItems containsBlank="1" count="6">
        <s v="Zona Norte"/>
        <s v="Loja"/>
        <s v="Zona Oeste"/>
        <s v="Centro"/>
        <s v="Zona Sul"/>
        <m u="1"/>
      </sharedItems>
    </cacheField>
    <cacheField name="Taxa de Entrega" numFmtId="44">
      <sharedItems containsSemiMixedTypes="0" containsString="0" containsNumber="1" containsInteger="1" minValue="0" maxValue="210"/>
    </cacheField>
    <cacheField name="Total" numFmtId="44">
      <sharedItems containsSemiMixedTypes="0" containsString="0" containsNumber="1" minValue="136.25" maxValue="8174"/>
    </cacheField>
    <cacheField name="Total para o Cliente" numFmtId="44">
      <sharedItems containsMixedTypes="1" containsNumber="1" minValue="296.25" maxValue="17665.8"/>
    </cacheField>
  </cacheFields>
  <extLst>
    <ext xmlns:x14="http://schemas.microsoft.com/office/spreadsheetml/2009/9/main" uri="{725AE2AE-9491-48be-B2B4-4EB974FC3084}">
      <x14:pivotCacheDefinition pivotCacheId="79451365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Evaristo" refreshedDate="45892.470701851853" createdVersion="8" refreshedVersion="8" minRefreshableVersion="3" recordCount="25" xr:uid="{A3FA9C8B-A0F3-4FE9-8DDE-9006FC826CB4}">
  <cacheSource type="worksheet">
    <worksheetSource name="Semana4"/>
  </cacheSource>
  <cacheFields count="12">
    <cacheField name="ID da Venda" numFmtId="0">
      <sharedItems containsSemiMixedTypes="0" containsString="0" containsNumber="1" containsInteger="1" minValue="1" maxValue="7"/>
    </cacheField>
    <cacheField name="Data" numFmtId="14">
      <sharedItems containsSemiMixedTypes="0" containsNonDate="0" containsDate="1" containsString="0" minDate="2025-07-02T00:00:00" maxDate="2025-08-25T00:00:00" count="11">
        <d v="2025-08-24T00:00:00"/>
        <d v="2025-08-23T00:00:00"/>
        <d v="2025-08-22T00:00:00"/>
        <d v="2025-08-21T00:00:00"/>
        <d v="2025-08-20T00:00:00"/>
        <d v="2025-08-19T00:00:00"/>
        <d v="2025-08-18T00:00:00"/>
        <d v="2025-07-05T00:00:00" u="1"/>
        <d v="2025-07-04T00:00:00" u="1"/>
        <d v="2025-07-03T00:00:00" u="1"/>
        <d v="2025-07-02T00:00:00" u="1"/>
      </sharedItems>
    </cacheField>
    <cacheField name="Produto" numFmtId="0">
      <sharedItems containsBlank="1" count="20">
        <s v="Frango"/>
        <s v="Pão de Forma"/>
        <s v="Chocolate"/>
        <s v="Suco"/>
        <s v="Leite"/>
        <s v="Vinho"/>
        <s v="Alface"/>
        <s v="Feijão"/>
        <s v="Cigarro"/>
        <s v="Barra de Cereal"/>
        <s v="Refrigerante"/>
        <s v="Carne"/>
        <s v="Caixa de Fósforo"/>
        <s v="Tomate"/>
        <s v="Couve"/>
        <s v="Arroz"/>
        <s v="Queijo"/>
        <s v="Vodka"/>
        <s v="Cerveja"/>
        <m u="1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0" maxValue="500"/>
    </cacheField>
    <cacheField name="Preço Unitário" numFmtId="44">
      <sharedItems containsSemiMixedTypes="0" containsString="0" containsNumber="1" minValue="0.95" maxValue="58"/>
    </cacheField>
    <cacheField name="Subtotal" numFmtId="44">
      <sharedItems containsSemiMixedTypes="0" containsString="0" containsNumber="1" minValue="94.5" maxValue="7680"/>
    </cacheField>
    <cacheField name="Desconto" numFmtId="9">
      <sharedItems containsString="0" containsBlank="1" containsNumber="1" minValue="0.01" maxValue="0.15"/>
    </cacheField>
    <cacheField name="Entrega" numFmtId="0">
      <sharedItems containsBlank="1" count="5">
        <s v="Zona Norte"/>
        <s v="Zona Oeste"/>
        <s v="Loja"/>
        <s v="Zona Sul"/>
        <m u="1"/>
      </sharedItems>
    </cacheField>
    <cacheField name="Taxa de Entrega" numFmtId="44">
      <sharedItems containsSemiMixedTypes="0" containsString="0" containsNumber="1" containsInteger="1" minValue="0" maxValue="210"/>
    </cacheField>
    <cacheField name="Total" numFmtId="44">
      <sharedItems containsSemiMixedTypes="0" containsString="0" containsNumber="1" minValue="94.5" maxValue="7603.2"/>
    </cacheField>
    <cacheField name="Total para o Cliente" numFmtId="44">
      <sharedItems containsMixedTypes="1" containsNumber="1" minValue="513.5" maxValue="23469.103999999999"/>
    </cacheField>
  </cacheFields>
  <extLst>
    <ext xmlns:x14="http://schemas.microsoft.com/office/spreadsheetml/2009/9/main" uri="{725AE2AE-9491-48be-B2B4-4EB974FC3084}">
      <x14:pivotCacheDefinition pivotCacheId="821101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7"/>
    <x v="0"/>
    <x v="0"/>
    <s v="Kg"/>
    <n v="180"/>
    <n v="9.9"/>
    <n v="1782"/>
    <n v="0.04"/>
    <x v="0"/>
    <n v="0"/>
    <n v="1710.72"/>
    <s v=""/>
  </r>
  <r>
    <n v="7"/>
    <x v="0"/>
    <x v="1"/>
    <s v="Unidade"/>
    <n v="120"/>
    <n v="3.15"/>
    <n v="378"/>
    <m/>
    <x v="0"/>
    <n v="0"/>
    <n v="378"/>
    <s v=""/>
  </r>
  <r>
    <n v="7"/>
    <x v="0"/>
    <x v="2"/>
    <s v="Lata"/>
    <n v="560"/>
    <n v="2.75"/>
    <n v="1540"/>
    <m/>
    <x v="0"/>
    <n v="0"/>
    <n v="1540"/>
    <s v=""/>
  </r>
  <r>
    <n v="7"/>
    <x v="0"/>
    <x v="3"/>
    <s v="Litro"/>
    <n v="230"/>
    <n v="3.8"/>
    <n v="874"/>
    <m/>
    <x v="0"/>
    <n v="190"/>
    <n v="1064"/>
    <n v="4692.72"/>
  </r>
  <r>
    <n v="6"/>
    <x v="1"/>
    <x v="2"/>
    <s v="Lata"/>
    <n v="540"/>
    <n v="2.75"/>
    <n v="1485"/>
    <n v="7.0000000000000007E-2"/>
    <x v="1"/>
    <n v="0"/>
    <n v="1381.05"/>
    <s v=""/>
  </r>
  <r>
    <n v="6"/>
    <x v="1"/>
    <x v="4"/>
    <s v="Unidade"/>
    <n v="200"/>
    <n v="2.8"/>
    <n v="560"/>
    <m/>
    <x v="1"/>
    <n v="150"/>
    <n v="710"/>
    <n v="2091.0500000000002"/>
  </r>
  <r>
    <n v="5"/>
    <x v="2"/>
    <x v="5"/>
    <s v="Pacote"/>
    <n v="140"/>
    <n v="1.35"/>
    <n v="189"/>
    <m/>
    <x v="2"/>
    <n v="0"/>
    <n v="189"/>
    <s v=""/>
  </r>
  <r>
    <n v="5"/>
    <x v="2"/>
    <x v="6"/>
    <s v="Maço"/>
    <n v="210"/>
    <n v="7.1"/>
    <n v="1491"/>
    <m/>
    <x v="2"/>
    <n v="0"/>
    <n v="1491"/>
    <s v=""/>
  </r>
  <r>
    <n v="5"/>
    <x v="2"/>
    <x v="7"/>
    <s v="Kg"/>
    <n v="220"/>
    <n v="10.5"/>
    <n v="2310"/>
    <n v="0.08"/>
    <x v="2"/>
    <n v="0"/>
    <n v="2125.2000000000003"/>
    <s v=""/>
  </r>
  <r>
    <n v="5"/>
    <x v="2"/>
    <x v="8"/>
    <s v="Litro"/>
    <n v="130"/>
    <n v="2.65"/>
    <n v="344.5"/>
    <m/>
    <x v="2"/>
    <n v="210"/>
    <n v="554.5"/>
    <n v="4359.7000000000007"/>
  </r>
  <r>
    <n v="4"/>
    <x v="3"/>
    <x v="1"/>
    <s v="Unidade"/>
    <n v="30"/>
    <n v="3.15"/>
    <n v="94.5"/>
    <m/>
    <x v="3"/>
    <n v="0"/>
    <n v="94.5"/>
    <s v=""/>
  </r>
  <r>
    <n v="4"/>
    <x v="3"/>
    <x v="9"/>
    <s v="Litro"/>
    <n v="25"/>
    <n v="4.3899999999999997"/>
    <n v="109.74999999999999"/>
    <m/>
    <x v="3"/>
    <n v="0"/>
    <n v="109.74999999999999"/>
    <s v=""/>
  </r>
  <r>
    <n v="4"/>
    <x v="3"/>
    <x v="10"/>
    <s v="Kg"/>
    <n v="15"/>
    <n v="30.9"/>
    <n v="463.5"/>
    <n v="0.02"/>
    <x v="3"/>
    <n v="0"/>
    <n v="454.23"/>
    <n v="658.48"/>
  </r>
  <r>
    <n v="3"/>
    <x v="4"/>
    <x v="8"/>
    <s v="Litro"/>
    <n v="310"/>
    <n v="2.65"/>
    <n v="821.5"/>
    <m/>
    <x v="4"/>
    <n v="0"/>
    <n v="821.5"/>
    <s v=""/>
  </r>
  <r>
    <n v="3"/>
    <x v="4"/>
    <x v="11"/>
    <s v="Kg"/>
    <n v="130"/>
    <n v="5.3"/>
    <n v="689"/>
    <m/>
    <x v="4"/>
    <n v="0"/>
    <n v="689"/>
    <s v=""/>
  </r>
  <r>
    <n v="3"/>
    <x v="4"/>
    <x v="3"/>
    <s v="Litro"/>
    <n v="320"/>
    <n v="3.8"/>
    <n v="1216"/>
    <m/>
    <x v="4"/>
    <n v="0"/>
    <n v="1216"/>
    <s v=""/>
  </r>
  <r>
    <n v="3"/>
    <x v="4"/>
    <x v="6"/>
    <s v="Maço"/>
    <n v="110"/>
    <n v="7.1"/>
    <n v="781"/>
    <n v="0.05"/>
    <x v="4"/>
    <n v="100"/>
    <n v="841.94999999999993"/>
    <n v="3568.45"/>
  </r>
  <r>
    <n v="2"/>
    <x v="5"/>
    <x v="12"/>
    <s v="Kg"/>
    <n v="200"/>
    <n v="6.8"/>
    <n v="1360"/>
    <m/>
    <x v="1"/>
    <n v="0"/>
    <n v="1360"/>
    <s v=""/>
  </r>
  <r>
    <n v="2"/>
    <x v="5"/>
    <x v="9"/>
    <s v="Litro"/>
    <n v="130"/>
    <n v="4.3899999999999997"/>
    <n v="570.69999999999993"/>
    <m/>
    <x v="1"/>
    <n v="0"/>
    <n v="570.69999999999993"/>
    <s v=""/>
  </r>
  <r>
    <n v="2"/>
    <x v="5"/>
    <x v="13"/>
    <s v="Pacote"/>
    <n v="300"/>
    <n v="2.15"/>
    <n v="645"/>
    <m/>
    <x v="1"/>
    <n v="150"/>
    <n v="795"/>
    <n v="2725.7"/>
  </r>
  <r>
    <n v="1"/>
    <x v="6"/>
    <x v="10"/>
    <s v="Kg"/>
    <n v="230"/>
    <n v="30.9"/>
    <n v="7107"/>
    <n v="0.03"/>
    <x v="2"/>
    <n v="0"/>
    <n v="6893.79"/>
    <s v=""/>
  </r>
  <r>
    <n v="1"/>
    <x v="6"/>
    <x v="14"/>
    <s v="Kg"/>
    <n v="140"/>
    <n v="32"/>
    <n v="4480"/>
    <m/>
    <x v="2"/>
    <n v="0"/>
    <n v="4480"/>
    <s v=""/>
  </r>
  <r>
    <n v="1"/>
    <x v="6"/>
    <x v="5"/>
    <s v="Pacote"/>
    <n v="280"/>
    <n v="1.35"/>
    <n v="378"/>
    <m/>
    <x v="2"/>
    <n v="0"/>
    <n v="378"/>
    <s v=""/>
  </r>
  <r>
    <n v="1"/>
    <x v="6"/>
    <x v="15"/>
    <s v="Garrafa"/>
    <n v="125"/>
    <n v="33.5"/>
    <n v="4187.5"/>
    <m/>
    <x v="2"/>
    <n v="0"/>
    <n v="4187.5"/>
    <s v=""/>
  </r>
  <r>
    <n v="1"/>
    <x v="6"/>
    <x v="16"/>
    <s v="Garrafa"/>
    <n v="188"/>
    <n v="58"/>
    <n v="10904"/>
    <n v="0.01"/>
    <x v="2"/>
    <n v="210"/>
    <n v="11004.96"/>
    <n v="26944.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n v="4"/>
    <x v="0"/>
    <x v="0"/>
    <s v="Kg"/>
    <n v="190"/>
    <n v="30.9"/>
    <n v="5871"/>
    <m/>
    <x v="0"/>
    <n v="0"/>
    <n v="5871"/>
    <s v=""/>
  </r>
  <r>
    <n v="4"/>
    <x v="0"/>
    <x v="1"/>
    <s v="Kg"/>
    <n v="220"/>
    <n v="5.3"/>
    <n v="1166"/>
    <n v="7.0000000000000007E-2"/>
    <x v="0"/>
    <n v="100"/>
    <n v="1184.3799999999999"/>
    <n v="7055.38"/>
  </r>
  <r>
    <n v="3"/>
    <x v="0"/>
    <x v="2"/>
    <s v="Kg"/>
    <n v="15"/>
    <n v="6.8"/>
    <n v="102"/>
    <m/>
    <x v="1"/>
    <n v="0"/>
    <n v="102"/>
    <s v=""/>
  </r>
  <r>
    <n v="3"/>
    <x v="0"/>
    <x v="3"/>
    <s v="Litro"/>
    <n v="20"/>
    <n v="4.3899999999999997"/>
    <n v="87.8"/>
    <m/>
    <x v="1"/>
    <n v="0"/>
    <n v="87.8"/>
    <n v="189.8"/>
  </r>
  <r>
    <n v="2"/>
    <x v="1"/>
    <x v="4"/>
    <s v="Litro"/>
    <n v="260"/>
    <n v="2.65"/>
    <n v="689"/>
    <m/>
    <x v="2"/>
    <n v="0"/>
    <n v="689"/>
    <s v=""/>
  </r>
  <r>
    <n v="2"/>
    <x v="1"/>
    <x v="5"/>
    <s v="Kg"/>
    <n v="120"/>
    <n v="6.3"/>
    <n v="756"/>
    <n v="0.08"/>
    <x v="2"/>
    <n v="0"/>
    <n v="695.52"/>
    <s v=""/>
  </r>
  <r>
    <n v="2"/>
    <x v="1"/>
    <x v="6"/>
    <s v="Unidade"/>
    <n v="160"/>
    <n v="3.15"/>
    <n v="504"/>
    <m/>
    <x v="2"/>
    <n v="0"/>
    <n v="504"/>
    <s v=""/>
  </r>
  <r>
    <n v="2"/>
    <x v="1"/>
    <x v="7"/>
    <s v="Kg"/>
    <n v="200"/>
    <n v="32"/>
    <n v="6400"/>
    <n v="0.05"/>
    <x v="2"/>
    <n v="0"/>
    <n v="6080"/>
    <s v=""/>
  </r>
  <r>
    <n v="2"/>
    <x v="1"/>
    <x v="8"/>
    <s v="Litro"/>
    <n v="140"/>
    <n v="3.8"/>
    <n v="532"/>
    <m/>
    <x v="2"/>
    <n v="0"/>
    <n v="532"/>
    <s v=""/>
  </r>
  <r>
    <n v="2"/>
    <x v="1"/>
    <x v="9"/>
    <s v="Kg"/>
    <n v="300"/>
    <n v="9.9"/>
    <n v="2970"/>
    <m/>
    <x v="2"/>
    <n v="190"/>
    <n v="3160"/>
    <n v="11660.52"/>
  </r>
  <r>
    <n v="1"/>
    <x v="2"/>
    <x v="10"/>
    <s v="Garrafa"/>
    <n v="100"/>
    <n v="33.5"/>
    <n v="3350"/>
    <m/>
    <x v="3"/>
    <n v="0"/>
    <n v="3350"/>
    <s v=""/>
  </r>
  <r>
    <n v="1"/>
    <x v="2"/>
    <x v="0"/>
    <s v="Kg"/>
    <n v="255"/>
    <n v="30.9"/>
    <n v="7879.5"/>
    <n v="0.1"/>
    <x v="3"/>
    <n v="0"/>
    <n v="7091.55"/>
    <s v=""/>
  </r>
  <r>
    <n v="1"/>
    <x v="2"/>
    <x v="11"/>
    <s v="Lata"/>
    <n v="240"/>
    <n v="2.75"/>
    <n v="660"/>
    <m/>
    <x v="3"/>
    <n v="0"/>
    <n v="660"/>
    <s v=""/>
  </r>
  <r>
    <n v="1"/>
    <x v="2"/>
    <x v="12"/>
    <s v="Unidade"/>
    <n v="96"/>
    <n v="2.8"/>
    <n v="268.79999999999995"/>
    <m/>
    <x v="3"/>
    <n v="0"/>
    <n v="268.79999999999995"/>
    <s v=""/>
  </r>
  <r>
    <n v="1"/>
    <x v="2"/>
    <x v="13"/>
    <s v="Barra"/>
    <n v="100"/>
    <n v="5.45"/>
    <n v="545"/>
    <m/>
    <x v="3"/>
    <n v="150"/>
    <n v="695"/>
    <n v="12065.349999999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7"/>
    <x v="0"/>
    <x v="0"/>
    <s v="Kg"/>
    <n v="222"/>
    <n v="9.9"/>
    <n v="2197.8000000000002"/>
    <n v="0.04"/>
    <x v="0"/>
    <n v="0"/>
    <n v="2109.8879999999999"/>
    <s v=""/>
  </r>
  <r>
    <n v="7"/>
    <x v="0"/>
    <x v="1"/>
    <s v="Unidade"/>
    <n v="320"/>
    <n v="3.15"/>
    <n v="1008"/>
    <n v="0.2"/>
    <x v="0"/>
    <n v="0"/>
    <n v="806.40000000000009"/>
    <s v=""/>
  </r>
  <r>
    <n v="7"/>
    <x v="0"/>
    <x v="2"/>
    <s v="Pacote"/>
    <n v="200"/>
    <n v="2.15"/>
    <n v="430"/>
    <m/>
    <x v="0"/>
    <n v="190"/>
    <n v="620"/>
    <n v="3536.288"/>
  </r>
  <r>
    <n v="6"/>
    <x v="1"/>
    <x v="3"/>
    <s v="Pacote"/>
    <n v="210"/>
    <n v="1.29"/>
    <n v="270.90000000000003"/>
    <m/>
    <x v="1"/>
    <n v="0"/>
    <n v="270.90000000000003"/>
    <s v=""/>
  </r>
  <r>
    <n v="6"/>
    <x v="1"/>
    <x v="4"/>
    <s v="Litro"/>
    <n v="280"/>
    <n v="3.8"/>
    <n v="1064"/>
    <n v="7.0000000000000007E-2"/>
    <x v="1"/>
    <n v="0"/>
    <n v="989.52"/>
    <s v=""/>
  </r>
  <r>
    <n v="6"/>
    <x v="1"/>
    <x v="5"/>
    <s v="Pacote"/>
    <n v="200"/>
    <n v="0.95"/>
    <n v="190"/>
    <m/>
    <x v="1"/>
    <n v="150"/>
    <n v="340"/>
    <n v="1600.42"/>
  </r>
  <r>
    <n v="5"/>
    <x v="2"/>
    <x v="6"/>
    <s v="Kg"/>
    <n v="10"/>
    <n v="4.3499999999999996"/>
    <n v="43.5"/>
    <m/>
    <x v="2"/>
    <n v="0"/>
    <n v="43.5"/>
    <s v=""/>
  </r>
  <r>
    <n v="5"/>
    <x v="2"/>
    <x v="7"/>
    <s v="Maço"/>
    <n v="60"/>
    <n v="7.1"/>
    <n v="426"/>
    <m/>
    <x v="2"/>
    <n v="0"/>
    <n v="426"/>
    <s v=""/>
  </r>
  <r>
    <n v="5"/>
    <x v="2"/>
    <x v="8"/>
    <s v="Kg"/>
    <n v="5"/>
    <n v="30.9"/>
    <n v="154.5"/>
    <m/>
    <x v="2"/>
    <n v="0"/>
    <n v="154.5"/>
    <n v="624"/>
  </r>
  <r>
    <n v="4"/>
    <x v="3"/>
    <x v="9"/>
    <s v="Unidade"/>
    <n v="280"/>
    <n v="2.8"/>
    <n v="784"/>
    <m/>
    <x v="3"/>
    <n v="0"/>
    <n v="784"/>
    <s v=""/>
  </r>
  <r>
    <n v="4"/>
    <x v="3"/>
    <x v="10"/>
    <s v="Lata"/>
    <n v="400"/>
    <n v="2.75"/>
    <n v="1100"/>
    <m/>
    <x v="3"/>
    <n v="0"/>
    <n v="1100"/>
    <s v=""/>
  </r>
  <r>
    <n v="4"/>
    <x v="3"/>
    <x v="11"/>
    <s v="Kg"/>
    <n v="240"/>
    <n v="6.3"/>
    <n v="1512"/>
    <n v="0.13"/>
    <x v="3"/>
    <n v="100"/>
    <n v="1415.44"/>
    <n v="3299.44"/>
  </r>
  <r>
    <n v="3"/>
    <x v="4"/>
    <x v="12"/>
    <s v="Litro"/>
    <n v="185"/>
    <n v="4.3899999999999997"/>
    <n v="812.15"/>
    <m/>
    <x v="0"/>
    <n v="0"/>
    <n v="812.15"/>
    <s v=""/>
  </r>
  <r>
    <n v="3"/>
    <x v="4"/>
    <x v="13"/>
    <s v="Kg"/>
    <n v="250"/>
    <n v="5.3"/>
    <n v="1325"/>
    <m/>
    <x v="0"/>
    <n v="0"/>
    <n v="1325"/>
    <s v=""/>
  </r>
  <r>
    <n v="3"/>
    <x v="4"/>
    <x v="10"/>
    <s v="Lata"/>
    <n v="520"/>
    <n v="2.75"/>
    <n v="1430"/>
    <n v="0.09"/>
    <x v="0"/>
    <n v="0"/>
    <n v="1301.3"/>
    <s v=""/>
  </r>
  <r>
    <n v="3"/>
    <x v="4"/>
    <x v="8"/>
    <s v="Kg"/>
    <n v="123"/>
    <n v="30.9"/>
    <n v="3800.7"/>
    <m/>
    <x v="0"/>
    <n v="0"/>
    <n v="3800.7"/>
    <s v=""/>
  </r>
  <r>
    <n v="3"/>
    <x v="4"/>
    <x v="8"/>
    <s v="Kg"/>
    <n v="180"/>
    <n v="30.9"/>
    <n v="5562"/>
    <n v="0.05"/>
    <x v="0"/>
    <n v="190"/>
    <n v="5473.9"/>
    <n v="12713.05"/>
  </r>
  <r>
    <n v="2"/>
    <x v="5"/>
    <x v="13"/>
    <s v="Kg"/>
    <n v="290"/>
    <n v="5.3"/>
    <n v="1537"/>
    <m/>
    <x v="3"/>
    <n v="0"/>
    <n v="1537"/>
    <s v=""/>
  </r>
  <r>
    <n v="2"/>
    <x v="5"/>
    <x v="14"/>
    <s v="Unidade"/>
    <n v="340"/>
    <n v="3.45"/>
    <n v="1173"/>
    <m/>
    <x v="3"/>
    <n v="0"/>
    <n v="1173"/>
    <s v=""/>
  </r>
  <r>
    <n v="2"/>
    <x v="5"/>
    <x v="15"/>
    <s v="Pacote"/>
    <n v="350"/>
    <n v="1.35"/>
    <n v="472.50000000000006"/>
    <m/>
    <x v="3"/>
    <n v="0"/>
    <n v="472.50000000000006"/>
    <s v=""/>
  </r>
  <r>
    <n v="2"/>
    <x v="5"/>
    <x v="16"/>
    <s v="Litro"/>
    <n v="450"/>
    <n v="2.65"/>
    <n v="1192.5"/>
    <m/>
    <x v="3"/>
    <n v="100"/>
    <n v="1292.5"/>
    <n v="4475"/>
  </r>
  <r>
    <n v="1"/>
    <x v="6"/>
    <x v="17"/>
    <s v="Kg"/>
    <n v="240"/>
    <n v="32"/>
    <n v="7680"/>
    <n v="0.08"/>
    <x v="4"/>
    <n v="0"/>
    <n v="7065.6"/>
    <s v=""/>
  </r>
  <r>
    <n v="1"/>
    <x v="6"/>
    <x v="18"/>
    <s v="Kg"/>
    <n v="254"/>
    <n v="6.8"/>
    <n v="1727.2"/>
    <m/>
    <x v="4"/>
    <n v="0"/>
    <n v="1727.2"/>
    <s v=""/>
  </r>
  <r>
    <n v="1"/>
    <x v="6"/>
    <x v="19"/>
    <s v="Garrafa"/>
    <n v="190"/>
    <n v="58"/>
    <n v="11020"/>
    <n v="0.03"/>
    <x v="4"/>
    <n v="0"/>
    <n v="10689.4"/>
    <s v=""/>
  </r>
  <r>
    <n v="1"/>
    <x v="6"/>
    <x v="2"/>
    <s v="Pacote"/>
    <n v="350"/>
    <n v="2.15"/>
    <n v="752.5"/>
    <m/>
    <x v="4"/>
    <n v="210"/>
    <n v="962.5"/>
    <n v="20444.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7"/>
    <x v="0"/>
    <x v="0"/>
    <s v="Litro"/>
    <n v="150"/>
    <n v="3.8"/>
    <n v="570"/>
    <n v="0.14000000000000001"/>
    <x v="0"/>
    <n v="0"/>
    <n v="490.2"/>
    <s v=""/>
  </r>
  <r>
    <n v="7"/>
    <x v="0"/>
    <x v="1"/>
    <s v="Unidade"/>
    <n v="300"/>
    <n v="3.45"/>
    <n v="1035"/>
    <m/>
    <x v="0"/>
    <n v="190"/>
    <n v="1225"/>
    <n v="1715.2"/>
  </r>
  <r>
    <n v="6"/>
    <x v="1"/>
    <x v="2"/>
    <s v="Barra"/>
    <n v="25"/>
    <n v="5.45"/>
    <n v="136.25"/>
    <m/>
    <x v="1"/>
    <n v="0"/>
    <n v="136.25"/>
    <s v=""/>
  </r>
  <r>
    <n v="6"/>
    <x v="1"/>
    <x v="3"/>
    <s v="Kg"/>
    <n v="5"/>
    <n v="32"/>
    <n v="160"/>
    <m/>
    <x v="1"/>
    <n v="0"/>
    <n v="160"/>
    <n v="296.25"/>
  </r>
  <r>
    <n v="5"/>
    <x v="2"/>
    <x v="4"/>
    <s v="Kg"/>
    <n v="135"/>
    <n v="30.9"/>
    <n v="4171.5"/>
    <m/>
    <x v="2"/>
    <n v="0"/>
    <n v="4171.5"/>
    <s v=""/>
  </r>
  <r>
    <n v="5"/>
    <x v="2"/>
    <x v="5"/>
    <s v="Kg"/>
    <n v="150"/>
    <n v="5.3"/>
    <n v="795"/>
    <n v="7.0000000000000007E-2"/>
    <x v="2"/>
    <n v="0"/>
    <n v="739.34999999999991"/>
    <s v=""/>
  </r>
  <r>
    <n v="5"/>
    <x v="2"/>
    <x v="6"/>
    <s v="Kg"/>
    <n v="268"/>
    <n v="30.5"/>
    <n v="8174"/>
    <m/>
    <x v="2"/>
    <n v="0"/>
    <n v="8174"/>
    <s v=""/>
  </r>
  <r>
    <n v="5"/>
    <x v="2"/>
    <x v="7"/>
    <s v="Litro"/>
    <n v="245"/>
    <n v="4.3899999999999997"/>
    <n v="1075.55"/>
    <m/>
    <x v="2"/>
    <n v="210"/>
    <n v="1285.55"/>
    <n v="14370.4"/>
  </r>
  <r>
    <n v="4"/>
    <x v="3"/>
    <x v="6"/>
    <s v="Kg"/>
    <n v="155"/>
    <n v="30.5"/>
    <n v="4727.5"/>
    <n v="0.06"/>
    <x v="3"/>
    <n v="0"/>
    <n v="4443.8499999999995"/>
    <s v=""/>
  </r>
  <r>
    <n v="4"/>
    <x v="3"/>
    <x v="8"/>
    <s v="Kg"/>
    <n v="100"/>
    <n v="9.9"/>
    <n v="990"/>
    <m/>
    <x v="3"/>
    <n v="0"/>
    <n v="990"/>
    <s v=""/>
  </r>
  <r>
    <n v="4"/>
    <x v="3"/>
    <x v="9"/>
    <s v="Litro"/>
    <n v="230"/>
    <n v="2.65"/>
    <n v="609.5"/>
    <m/>
    <x v="3"/>
    <n v="0"/>
    <n v="609.5"/>
    <s v=""/>
  </r>
  <r>
    <n v="4"/>
    <x v="3"/>
    <x v="10"/>
    <s v="Kg"/>
    <n v="100"/>
    <n v="6.3"/>
    <n v="630"/>
    <n v="0.2"/>
    <x v="3"/>
    <n v="100"/>
    <n v="604"/>
    <n v="6647.3499999999995"/>
  </r>
  <r>
    <n v="3"/>
    <x v="4"/>
    <x v="4"/>
    <s v="Kg"/>
    <n v="230"/>
    <n v="30.9"/>
    <n v="7107"/>
    <m/>
    <x v="0"/>
    <n v="0"/>
    <n v="7107"/>
    <s v=""/>
  </r>
  <r>
    <n v="3"/>
    <x v="4"/>
    <x v="8"/>
    <s v="Kg"/>
    <n v="200"/>
    <n v="9.9"/>
    <n v="1980"/>
    <n v="0.04"/>
    <x v="0"/>
    <n v="0"/>
    <n v="1900.8"/>
    <s v=""/>
  </r>
  <r>
    <n v="3"/>
    <x v="4"/>
    <x v="11"/>
    <s v="Unidade"/>
    <n v="165"/>
    <n v="3.15"/>
    <n v="519.75"/>
    <m/>
    <x v="0"/>
    <n v="0"/>
    <n v="519.75"/>
    <s v=""/>
  </r>
  <r>
    <n v="3"/>
    <x v="4"/>
    <x v="12"/>
    <s v="Lata"/>
    <n v="429"/>
    <n v="2.75"/>
    <n v="1179.75"/>
    <m/>
    <x v="0"/>
    <n v="0"/>
    <n v="1179.75"/>
    <s v=""/>
  </r>
  <r>
    <n v="3"/>
    <x v="4"/>
    <x v="5"/>
    <s v="Kg"/>
    <n v="123"/>
    <n v="5.3"/>
    <n v="651.9"/>
    <m/>
    <x v="0"/>
    <n v="190"/>
    <n v="841.9"/>
    <n v="11549.199999999999"/>
  </r>
  <r>
    <n v="2"/>
    <x v="5"/>
    <x v="13"/>
    <s v="Maço"/>
    <n v="400"/>
    <n v="7.1"/>
    <n v="2840"/>
    <m/>
    <x v="4"/>
    <n v="0"/>
    <n v="2840"/>
    <s v=""/>
  </r>
  <r>
    <n v="2"/>
    <x v="5"/>
    <x v="11"/>
    <s v="Unidade"/>
    <n v="300"/>
    <n v="3.15"/>
    <n v="945"/>
    <m/>
    <x v="4"/>
    <n v="0"/>
    <n v="945"/>
    <s v=""/>
  </r>
  <r>
    <n v="2"/>
    <x v="5"/>
    <x v="4"/>
    <s v="Kg"/>
    <n v="250"/>
    <n v="30.9"/>
    <n v="7725"/>
    <n v="0.02"/>
    <x v="4"/>
    <n v="150"/>
    <n v="7720.5"/>
    <n v="11505.5"/>
  </r>
  <r>
    <n v="1"/>
    <x v="6"/>
    <x v="5"/>
    <s v="Kg"/>
    <n v="230"/>
    <n v="5.3"/>
    <n v="1219"/>
    <m/>
    <x v="3"/>
    <n v="0"/>
    <n v="1219"/>
    <s v=""/>
  </r>
  <r>
    <n v="1"/>
    <x v="6"/>
    <x v="7"/>
    <s v="Litro"/>
    <n v="340"/>
    <n v="4.3899999999999997"/>
    <n v="1492.6"/>
    <m/>
    <x v="3"/>
    <n v="0"/>
    <n v="1492.6"/>
    <s v=""/>
  </r>
  <r>
    <n v="1"/>
    <x v="6"/>
    <x v="14"/>
    <s v="Kg"/>
    <n v="230"/>
    <n v="10.5"/>
    <n v="2415"/>
    <m/>
    <x v="3"/>
    <n v="0"/>
    <n v="2415"/>
    <s v=""/>
  </r>
  <r>
    <n v="1"/>
    <x v="6"/>
    <x v="3"/>
    <s v="Kg"/>
    <n v="240"/>
    <n v="32"/>
    <n v="7680"/>
    <n v="0.06"/>
    <x v="3"/>
    <n v="0"/>
    <n v="7219.2"/>
    <s v=""/>
  </r>
  <r>
    <n v="1"/>
    <x v="6"/>
    <x v="15"/>
    <s v="Garrafa"/>
    <n v="90"/>
    <n v="58"/>
    <n v="5220"/>
    <m/>
    <x v="3"/>
    <n v="100"/>
    <n v="5320"/>
    <n v="17665.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7"/>
    <x v="0"/>
    <x v="0"/>
    <s v="Kg"/>
    <n v="110"/>
    <n v="9.9"/>
    <n v="1089"/>
    <n v="0.04"/>
    <x v="0"/>
    <n v="0"/>
    <n v="1045.44"/>
    <s v=""/>
  </r>
  <r>
    <n v="7"/>
    <x v="0"/>
    <x v="1"/>
    <s v="Unidade"/>
    <n v="156"/>
    <n v="3.15"/>
    <n v="491.4"/>
    <m/>
    <x v="0"/>
    <n v="0"/>
    <n v="491.4"/>
    <s v=""/>
  </r>
  <r>
    <n v="7"/>
    <x v="0"/>
    <x v="2"/>
    <s v="Barra"/>
    <n v="150"/>
    <n v="5.45"/>
    <n v="817.5"/>
    <m/>
    <x v="0"/>
    <n v="0"/>
    <n v="817.5"/>
    <s v=""/>
  </r>
  <r>
    <n v="7"/>
    <x v="0"/>
    <x v="3"/>
    <s v="Litro"/>
    <n v="220"/>
    <n v="3.8"/>
    <n v="836"/>
    <n v="0.02"/>
    <x v="0"/>
    <n v="190"/>
    <n v="1009.28"/>
    <n v="3363.62"/>
  </r>
  <r>
    <n v="6"/>
    <x v="1"/>
    <x v="4"/>
    <s v="Litro"/>
    <n v="230"/>
    <n v="4.3899999999999997"/>
    <n v="1009.6999999999999"/>
    <n v="0.12"/>
    <x v="1"/>
    <n v="0"/>
    <n v="888.53599999999994"/>
    <s v=""/>
  </r>
  <r>
    <n v="6"/>
    <x v="1"/>
    <x v="5"/>
    <s v="Garrafa"/>
    <n v="120"/>
    <n v="33.5"/>
    <n v="4020"/>
    <m/>
    <x v="1"/>
    <n v="210"/>
    <n v="4230"/>
    <n v="5118.5360000000001"/>
  </r>
  <r>
    <n v="5"/>
    <x v="2"/>
    <x v="6"/>
    <s v="Unidade"/>
    <n v="235"/>
    <n v="3.45"/>
    <n v="810.75"/>
    <m/>
    <x v="2"/>
    <n v="0"/>
    <n v="810.75"/>
    <s v=""/>
  </r>
  <r>
    <n v="5"/>
    <x v="2"/>
    <x v="7"/>
    <s v="Kg"/>
    <n v="102"/>
    <n v="6.8"/>
    <n v="693.6"/>
    <m/>
    <x v="2"/>
    <n v="0"/>
    <n v="693.6"/>
    <s v=""/>
  </r>
  <r>
    <n v="5"/>
    <x v="2"/>
    <x v="8"/>
    <s v="Maço"/>
    <n v="500"/>
    <n v="7.1"/>
    <n v="3550"/>
    <n v="0.15"/>
    <x v="2"/>
    <n v="0"/>
    <n v="3017.5"/>
    <s v=""/>
  </r>
  <r>
    <n v="5"/>
    <x v="2"/>
    <x v="9"/>
    <s v="Pacote"/>
    <n v="330"/>
    <n v="1.35"/>
    <n v="445.50000000000006"/>
    <m/>
    <x v="2"/>
    <n v="0"/>
    <n v="445.50000000000006"/>
    <n v="4967.3500000000004"/>
  </r>
  <r>
    <n v="4"/>
    <x v="3"/>
    <x v="10"/>
    <s v="Litro"/>
    <n v="320"/>
    <n v="2.65"/>
    <n v="848"/>
    <m/>
    <x v="3"/>
    <n v="0"/>
    <n v="848"/>
    <s v=""/>
  </r>
  <r>
    <n v="4"/>
    <x v="3"/>
    <x v="2"/>
    <s v="Barra"/>
    <n v="330"/>
    <n v="5.45"/>
    <n v="1798.5"/>
    <m/>
    <x v="3"/>
    <n v="0"/>
    <n v="1798.5"/>
    <s v=""/>
  </r>
  <r>
    <n v="4"/>
    <x v="3"/>
    <x v="11"/>
    <s v="Kg"/>
    <n v="234"/>
    <n v="30.9"/>
    <n v="7230.5999999999995"/>
    <m/>
    <x v="3"/>
    <n v="150"/>
    <n v="7380.5999999999995"/>
    <n v="10027.099999999999"/>
  </r>
  <r>
    <n v="3"/>
    <x v="4"/>
    <x v="12"/>
    <s v="Pacote"/>
    <n v="270"/>
    <n v="0.95"/>
    <n v="256.5"/>
    <m/>
    <x v="1"/>
    <n v="0"/>
    <n v="256.5"/>
    <s v=""/>
  </r>
  <r>
    <n v="3"/>
    <x v="4"/>
    <x v="13"/>
    <s v="Kg"/>
    <n v="250"/>
    <n v="6.3"/>
    <n v="1575"/>
    <m/>
    <x v="1"/>
    <n v="0"/>
    <n v="1575"/>
    <s v=""/>
  </r>
  <r>
    <n v="3"/>
    <x v="4"/>
    <x v="4"/>
    <s v="Litro"/>
    <n v="140"/>
    <n v="4.3899999999999997"/>
    <n v="614.59999999999991"/>
    <m/>
    <x v="1"/>
    <n v="0"/>
    <n v="614.59999999999991"/>
    <s v=""/>
  </r>
  <r>
    <n v="3"/>
    <x v="4"/>
    <x v="14"/>
    <s v="Unidade"/>
    <n v="300"/>
    <n v="2.8"/>
    <n v="840"/>
    <m/>
    <x v="1"/>
    <n v="210"/>
    <n v="1050"/>
    <n v="3496.1"/>
  </r>
  <r>
    <n v="2"/>
    <x v="5"/>
    <x v="0"/>
    <s v="Kg"/>
    <n v="101"/>
    <n v="9.9"/>
    <n v="999.90000000000009"/>
    <n v="0.04"/>
    <x v="3"/>
    <n v="0"/>
    <n v="959.904"/>
    <s v=""/>
  </r>
  <r>
    <n v="2"/>
    <x v="5"/>
    <x v="15"/>
    <s v="Kg"/>
    <n v="240"/>
    <n v="5.3"/>
    <n v="1272"/>
    <m/>
    <x v="3"/>
    <n v="0"/>
    <n v="1272"/>
    <s v=""/>
  </r>
  <r>
    <n v="2"/>
    <x v="5"/>
    <x v="16"/>
    <s v="Kg"/>
    <n v="240"/>
    <n v="32"/>
    <n v="7680"/>
    <n v="0.01"/>
    <x v="3"/>
    <n v="0"/>
    <n v="7603.2"/>
    <s v=""/>
  </r>
  <r>
    <n v="2"/>
    <x v="5"/>
    <x v="16"/>
    <s v="Kg"/>
    <n v="222"/>
    <n v="32"/>
    <n v="7104"/>
    <m/>
    <x v="3"/>
    <n v="0"/>
    <n v="7104"/>
    <s v=""/>
  </r>
  <r>
    <n v="2"/>
    <x v="5"/>
    <x v="17"/>
    <s v="Garrafa"/>
    <n v="110"/>
    <n v="58"/>
    <n v="6380"/>
    <m/>
    <x v="3"/>
    <n v="150"/>
    <n v="6530"/>
    <n v="23469.103999999999"/>
  </r>
  <r>
    <n v="1"/>
    <x v="6"/>
    <x v="18"/>
    <s v="Lata"/>
    <n v="40"/>
    <n v="2.75"/>
    <n v="110"/>
    <m/>
    <x v="2"/>
    <n v="0"/>
    <n v="110"/>
    <s v=""/>
  </r>
  <r>
    <n v="1"/>
    <x v="6"/>
    <x v="11"/>
    <s v="Kg"/>
    <n v="10"/>
    <n v="30.9"/>
    <n v="309"/>
    <m/>
    <x v="2"/>
    <n v="0"/>
    <n v="309"/>
    <s v=""/>
  </r>
  <r>
    <n v="1"/>
    <x v="6"/>
    <x v="9"/>
    <s v="Pacote"/>
    <n v="70"/>
    <n v="1.35"/>
    <n v="94.5"/>
    <m/>
    <x v="2"/>
    <n v="0"/>
    <n v="94.5"/>
    <n v="513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52BD6-8BEB-45E2-B1D5-F727B59ED6B9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Data da Venda">
  <location ref="B4:D23" firstHeaderRow="0" firstDataRow="1" firstDataCol="1"/>
  <pivotFields count="12">
    <pivotField showAll="0"/>
    <pivotField axis="axisRow" numFmtId="14" showAll="0">
      <items count="8">
        <item m="1" x="6"/>
        <item m="1" x="5"/>
        <item m="1" x="4"/>
        <item m="1" x="3"/>
        <item x="0"/>
        <item x="1"/>
        <item x="2"/>
        <item t="default"/>
      </items>
    </pivotField>
    <pivotField axis="axisRow" showAll="0">
      <items count="21">
        <item m="1" x="17"/>
        <item x="1"/>
        <item x="0"/>
        <item x="11"/>
        <item x="3"/>
        <item x="6"/>
        <item x="7"/>
        <item x="4"/>
        <item m="1" x="16"/>
        <item x="5"/>
        <item x="8"/>
        <item x="9"/>
        <item x="13"/>
        <item m="1" x="14"/>
        <item x="2"/>
        <item x="10"/>
        <item x="12"/>
        <item m="1" x="15"/>
        <item m="1" x="18"/>
        <item m="1" x="19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19">
    <i>
      <x v="4"/>
    </i>
    <i r="1">
      <x v="1"/>
    </i>
    <i r="1">
      <x v="2"/>
    </i>
    <i r="1">
      <x v="4"/>
    </i>
    <i r="1">
      <x v="14"/>
    </i>
    <i>
      <x v="5"/>
    </i>
    <i r="1">
      <x v="5"/>
    </i>
    <i r="1">
      <x v="6"/>
    </i>
    <i r="1">
      <x v="7"/>
    </i>
    <i r="1">
      <x v="9"/>
    </i>
    <i r="1">
      <x v="10"/>
    </i>
    <i r="1">
      <x v="11"/>
    </i>
    <i>
      <x v="6"/>
    </i>
    <i r="1">
      <x v="2"/>
    </i>
    <i r="1">
      <x v="3"/>
    </i>
    <i r="1">
      <x v="12"/>
    </i>
    <i r="1">
      <x v="15"/>
    </i>
    <i r="1"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formats count="10"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1" type="button" dataOnly="0" labelOnly="1" outline="0" axis="axisRow" fieldPosition="0"/>
    </format>
    <format dxfId="57">
      <pivotArea dataOnly="0" labelOnly="1" fieldPosition="0">
        <references count="1">
          <reference field="1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2">
          <reference field="1" count="1" selected="0">
            <x v="0"/>
          </reference>
          <reference field="2" count="3">
            <x v="0"/>
            <x v="1"/>
            <x v="4"/>
          </reference>
        </references>
      </pivotArea>
    </format>
    <format dxfId="54">
      <pivotArea dataOnly="0" labelOnly="1" fieldPosition="0">
        <references count="2">
          <reference field="1" count="1" selected="0">
            <x v="1"/>
          </reference>
          <reference field="2" count="5">
            <x v="2"/>
            <x v="3"/>
            <x v="5"/>
            <x v="6"/>
            <x v="8"/>
          </reference>
        </references>
      </pivotArea>
    </format>
    <format dxfId="53">
      <pivotArea dataOnly="0" labelOnly="1" fieldPosition="0">
        <references count="2">
          <reference field="1" count="1" selected="0">
            <x v="2"/>
          </reference>
          <reference field="2" count="2">
            <x v="3"/>
            <x v="7"/>
          </reference>
        </references>
      </pivotArea>
    </format>
    <format dxfId="52">
      <pivotArea dataOnly="0" labelOnly="1" fieldPosition="0">
        <references count="2">
          <reference field="1" count="1" selected="0">
            <x v="3"/>
          </reference>
          <reference field="2" count="2">
            <x v="2"/>
            <x v="3"/>
          </reference>
        </references>
      </pivotArea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12BA13-5064-4739-A733-909E80FCAE4B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 rowHeaderCaption="Região de Entrega">
  <location ref="B51:E71" firstHeaderRow="0" firstDataRow="1" firstDataCol="1"/>
  <pivotFields count="12">
    <pivotField showAll="0"/>
    <pivotField numFmtId="14" showAll="0"/>
    <pivotField axis="axisRow" showAll="0">
      <items count="21">
        <item m="1" x="17"/>
        <item m="1" x="19"/>
        <item x="1"/>
        <item m="1" x="18"/>
        <item m="1" x="15"/>
        <item x="0"/>
        <item x="11"/>
        <item x="2"/>
        <item x="3"/>
        <item x="6"/>
        <item x="7"/>
        <item x="4"/>
        <item m="1" x="16"/>
        <item x="5"/>
        <item x="8"/>
        <item x="9"/>
        <item x="10"/>
        <item x="12"/>
        <item x="13"/>
        <item m="1" x="14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7">
        <item x="1"/>
        <item x="2"/>
        <item m="1" x="4"/>
        <item x="3"/>
        <item x="0"/>
        <item m="1" x="5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20">
    <i>
      <x/>
    </i>
    <i r="1">
      <x v="7"/>
    </i>
    <i r="1">
      <x v="8"/>
    </i>
    <i>
      <x v="1"/>
    </i>
    <i r="1">
      <x v="9"/>
    </i>
    <i r="1">
      <x v="10"/>
    </i>
    <i r="1">
      <x v="11"/>
    </i>
    <i r="1">
      <x v="13"/>
    </i>
    <i r="1">
      <x v="14"/>
    </i>
    <i r="1">
      <x v="15"/>
    </i>
    <i>
      <x v="3"/>
    </i>
    <i r="1">
      <x v="5"/>
    </i>
    <i r="1">
      <x v="6"/>
    </i>
    <i r="1">
      <x v="16"/>
    </i>
    <i r="1">
      <x v="17"/>
    </i>
    <i r="1">
      <x v="18"/>
    </i>
    <i>
      <x v="4"/>
    </i>
    <i r="1">
      <x v="2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axa de Entrega" fld="9" baseField="0" baseItem="0" numFmtId="44"/>
    <dataField name="Soma de Total" fld="10" baseField="0" baseItem="0" numFmtId="44"/>
  </dataFields>
  <formats count="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8" type="button" dataOnly="0" labelOnly="1" outline="0" axis="axisRow" fieldPosition="0"/>
    </format>
    <format dxfId="63">
      <pivotArea dataOnly="0" labelOnly="1" fieldPosition="0">
        <references count="1">
          <reference field="8" count="0"/>
        </references>
      </pivotArea>
    </format>
    <format dxfId="62">
      <pivotArea dataOnly="0" labelOnly="1" grandRow="1" outline="0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A7B31-CD8B-476C-AB3F-B2D8D5D90FCC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ata da Venda">
  <location ref="B4:D37" firstHeaderRow="0" firstDataRow="1" firstDataCol="1"/>
  <pivotFields count="12">
    <pivotField showAll="0"/>
    <pivotField axis="axisRow" numFmtId="14" showAll="0">
      <items count="12">
        <item m="1" x="10"/>
        <item m="1" x="9"/>
        <item m="1" x="8"/>
        <item m="1"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18">
        <item x="5"/>
        <item x="7"/>
        <item x="11"/>
        <item x="3"/>
        <item x="9"/>
        <item x="8"/>
        <item x="6"/>
        <item m="1" x="16"/>
        <item x="0"/>
        <item x="1"/>
        <item x="2"/>
        <item x="4"/>
        <item x="10"/>
        <item x="12"/>
        <item x="13"/>
        <item x="14"/>
        <item x="15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3">
    <i>
      <x v="4"/>
    </i>
    <i r="1">
      <x v="8"/>
    </i>
    <i r="1">
      <x v="9"/>
    </i>
    <i>
      <x v="5"/>
    </i>
    <i r="1">
      <x v="3"/>
    </i>
    <i r="1">
      <x v="10"/>
    </i>
    <i>
      <x v="6"/>
    </i>
    <i r="1">
      <x/>
    </i>
    <i r="1">
      <x v="1"/>
    </i>
    <i r="1">
      <x v="6"/>
    </i>
    <i r="1">
      <x v="11"/>
    </i>
    <i>
      <x v="7"/>
    </i>
    <i r="1">
      <x v="4"/>
    </i>
    <i r="1">
      <x v="5"/>
    </i>
    <i r="1">
      <x v="6"/>
    </i>
    <i r="1">
      <x v="12"/>
    </i>
    <i>
      <x v="8"/>
    </i>
    <i r="1">
      <x/>
    </i>
    <i r="1">
      <x v="2"/>
    </i>
    <i r="1">
      <x v="5"/>
    </i>
    <i r="1">
      <x v="11"/>
    </i>
    <i r="1">
      <x v="13"/>
    </i>
    <i>
      <x v="9"/>
    </i>
    <i r="1">
      <x v="2"/>
    </i>
    <i r="1">
      <x v="11"/>
    </i>
    <i r="1">
      <x v="14"/>
    </i>
    <i>
      <x v="10"/>
    </i>
    <i r="1">
      <x/>
    </i>
    <i r="1">
      <x v="1"/>
    </i>
    <i r="1">
      <x v="3"/>
    </i>
    <i r="1">
      <x v="15"/>
    </i>
    <i r="1"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B343-661C-42DF-A935-974AF3ABCBE2}" name="Tabela dinâ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B61:E92" firstHeaderRow="0" firstDataRow="1" firstDataCol="1"/>
  <pivotFields count="12">
    <pivotField showAll="0"/>
    <pivotField numFmtId="14" showAll="0"/>
    <pivotField axis="axisRow" showAll="0">
      <items count="18">
        <item x="5"/>
        <item x="7"/>
        <item x="11"/>
        <item x="3"/>
        <item x="9"/>
        <item x="8"/>
        <item x="6"/>
        <item m="1" x="16"/>
        <item x="0"/>
        <item x="1"/>
        <item x="2"/>
        <item x="4"/>
        <item x="10"/>
        <item x="12"/>
        <item x="13"/>
        <item x="14"/>
        <item x="15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7">
        <item x="1"/>
        <item x="0"/>
        <item x="2"/>
        <item x="4"/>
        <item x="3"/>
        <item m="1" x="5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31">
    <i>
      <x/>
    </i>
    <i r="1">
      <x v="3"/>
    </i>
    <i r="1">
      <x v="10"/>
    </i>
    <i>
      <x v="1"/>
    </i>
    <i r="1">
      <x/>
    </i>
    <i r="1">
      <x v="2"/>
    </i>
    <i r="1">
      <x v="5"/>
    </i>
    <i r="1">
      <x v="8"/>
    </i>
    <i r="1">
      <x v="9"/>
    </i>
    <i r="1">
      <x v="11"/>
    </i>
    <i r="1">
      <x v="13"/>
    </i>
    <i>
      <x v="2"/>
    </i>
    <i r="1">
      <x/>
    </i>
    <i r="1">
      <x v="1"/>
    </i>
    <i r="1">
      <x v="6"/>
    </i>
    <i r="1">
      <x v="11"/>
    </i>
    <i>
      <x v="3"/>
    </i>
    <i r="1">
      <x v="2"/>
    </i>
    <i r="1">
      <x v="11"/>
    </i>
    <i r="1">
      <x v="14"/>
    </i>
    <i>
      <x v="4"/>
    </i>
    <i r="1">
      <x/>
    </i>
    <i r="1">
      <x v="1"/>
    </i>
    <i r="1">
      <x v="3"/>
    </i>
    <i r="1">
      <x v="4"/>
    </i>
    <i r="1">
      <x v="5"/>
    </i>
    <i r="1">
      <x v="6"/>
    </i>
    <i r="1">
      <x v="12"/>
    </i>
    <i r="1">
      <x v="15"/>
    </i>
    <i r="1"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axa de Entrega" fld="9" baseField="0" baseItem="0" numFmtId="44"/>
    <dataField name="Soma de Total" fld="10" baseField="0" baseItem="0" numFmtId="44"/>
  </dataFields>
  <formats count="7"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8" type="button" dataOnly="0" labelOnly="1" outline="0" axis="axisRow" fieldPosition="0"/>
    </format>
    <format dxfId="40">
      <pivotArea dataOnly="0" labelOnly="1" fieldPosition="0">
        <references count="1">
          <reference field="8" count="0"/>
        </references>
      </pivotArea>
    </format>
    <format dxfId="39">
      <pivotArea dataOnly="0" labelOnly="1" grandRow="1" outline="0" fieldPosition="0"/>
    </format>
    <format dxfId="38">
      <pivotArea dataOnly="0" labelOnly="1" fieldPosition="0">
        <references count="2">
          <reference field="2" count="9">
            <x v="0"/>
            <x v="1"/>
            <x v="3"/>
            <x v="4"/>
            <x v="5"/>
            <x v="6"/>
            <x v="12"/>
            <x v="15"/>
            <x v="16"/>
          </reference>
          <reference field="8" count="1" selected="0">
            <x v="4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C9804-BEEB-4F04-8FE8-5DD596A1AB28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Data da Venda">
  <location ref="B4:D36" firstHeaderRow="0" firstDataRow="1" firstDataCol="1"/>
  <pivotFields count="12">
    <pivotField showAll="0"/>
    <pivotField axis="axisRow" numFmtId="14" showAll="0">
      <items count="12">
        <item m="1" x="10"/>
        <item m="1" x="9"/>
        <item m="1" x="8"/>
        <item m="1"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22">
        <item x="1"/>
        <item x="0"/>
        <item m="1" x="20"/>
        <item x="4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2">
    <i>
      <x v="4"/>
    </i>
    <i r="1">
      <x/>
    </i>
    <i r="1">
      <x v="1"/>
    </i>
    <i r="1">
      <x v="4"/>
    </i>
    <i>
      <x v="5"/>
    </i>
    <i r="1">
      <x v="3"/>
    </i>
    <i r="1">
      <x v="5"/>
    </i>
    <i r="1">
      <x v="6"/>
    </i>
    <i>
      <x v="6"/>
    </i>
    <i r="1">
      <x v="7"/>
    </i>
    <i r="1">
      <x v="8"/>
    </i>
    <i r="1">
      <x v="9"/>
    </i>
    <i>
      <x v="7"/>
    </i>
    <i r="1">
      <x v="10"/>
    </i>
    <i r="1">
      <x v="11"/>
    </i>
    <i r="1">
      <x v="12"/>
    </i>
    <i>
      <x v="8"/>
    </i>
    <i r="1">
      <x v="9"/>
    </i>
    <i r="1">
      <x v="11"/>
    </i>
    <i r="1">
      <x v="13"/>
    </i>
    <i r="1">
      <x v="14"/>
    </i>
    <i>
      <x v="9"/>
    </i>
    <i r="1">
      <x v="14"/>
    </i>
    <i r="1">
      <x v="15"/>
    </i>
    <i r="1">
      <x v="16"/>
    </i>
    <i r="1">
      <x v="17"/>
    </i>
    <i>
      <x v="10"/>
    </i>
    <i r="1">
      <x v="4"/>
    </i>
    <i r="1">
      <x v="18"/>
    </i>
    <i r="1">
      <x v="19"/>
    </i>
    <i r="1"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8EEDC-CAF5-41B4-9E6B-25AD2E018A93}" name="Tabela dinâ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Região de Entrega">
  <location ref="B54:E84" firstHeaderRow="0" firstDataRow="1" firstDataCol="1"/>
  <pivotFields count="12">
    <pivotField showAll="0"/>
    <pivotField numFmtId="14" showAll="0"/>
    <pivotField axis="axisRow" showAll="0">
      <items count="22">
        <item x="1"/>
        <item x="0"/>
        <item m="1" x="20"/>
        <item x="4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7">
        <item x="0"/>
        <item x="1"/>
        <item m="1" x="5"/>
        <item x="2"/>
        <item x="3"/>
        <item x="4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30">
    <i>
      <x/>
    </i>
    <i r="1">
      <x/>
    </i>
    <i r="1">
      <x v="1"/>
    </i>
    <i r="1">
      <x v="4"/>
    </i>
    <i r="1">
      <x v="9"/>
    </i>
    <i r="1">
      <x v="11"/>
    </i>
    <i r="1">
      <x v="13"/>
    </i>
    <i r="1">
      <x v="14"/>
    </i>
    <i>
      <x v="1"/>
    </i>
    <i r="1">
      <x v="3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>
      <x v="5"/>
    </i>
    <i r="1">
      <x v="4"/>
    </i>
    <i r="1">
      <x v="18"/>
    </i>
    <i r="1">
      <x v="19"/>
    </i>
    <i r="1"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axa de Entrega" fld="9" baseField="0" baseItem="0" numFmtId="44"/>
    <dataField name="Soma de Total" fld="10" baseField="0" baseItem="0" numFmtId="4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F2CBA5-50E4-4D26-8DAC-F6A8E7D3AD17}" name="Tabela dinâmica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Região de Entrega">
  <location ref="B55:E82" firstHeaderRow="0" firstDataRow="1" firstDataCol="1"/>
  <pivotFields count="12">
    <pivotField showAll="0"/>
    <pivotField numFmtId="14" showAll="0"/>
    <pivotField axis="axisRow" showAll="0">
      <items count="21">
        <item x="1"/>
        <item x="0"/>
        <item m="1" x="19"/>
        <item x="5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27">
    <i>
      <x/>
    </i>
    <i r="1">
      <x/>
    </i>
    <i r="1">
      <x v="1"/>
    </i>
    <i r="1">
      <x v="4"/>
    </i>
    <i r="1">
      <x v="5"/>
    </i>
    <i>
      <x v="2"/>
    </i>
    <i r="1">
      <x v="3"/>
    </i>
    <i r="1">
      <x v="6"/>
    </i>
    <i r="1">
      <x v="13"/>
    </i>
    <i r="1">
      <x v="14"/>
    </i>
    <i r="1">
      <x v="15"/>
    </i>
    <i>
      <x v="3"/>
    </i>
    <i r="1">
      <x v="7"/>
    </i>
    <i r="1">
      <x v="8"/>
    </i>
    <i r="1">
      <x v="9"/>
    </i>
    <i r="1">
      <x v="10"/>
    </i>
    <i r="1">
      <x v="12"/>
    </i>
    <i r="1">
      <x v="19"/>
    </i>
    <i>
      <x v="4"/>
    </i>
    <i r="1">
      <x v="1"/>
    </i>
    <i r="1">
      <x v="4"/>
    </i>
    <i r="1">
      <x v="11"/>
    </i>
    <i r="1">
      <x v="12"/>
    </i>
    <i r="1">
      <x v="16"/>
    </i>
    <i r="1">
      <x v="17"/>
    </i>
    <i r="1"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axa de Entrega" fld="9" baseField="0" baseItem="0" numFmtId="44"/>
    <dataField name="Soma de Total" fld="10" baseField="0" baseItem="0" numFmtId="4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97226-0FD0-4885-A468-4872A8C3FE14}" name="Tabela dinâmica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Data da Venda">
  <location ref="B4:D36" firstHeaderRow="0" firstDataRow="1" firstDataCol="1"/>
  <pivotFields count="12">
    <pivotField showAll="0"/>
    <pivotField axis="axisRow" numFmtId="14" showAll="0">
      <items count="12">
        <item m="1" x="10"/>
        <item m="1" x="9"/>
        <item m="1" x="8"/>
        <item m="1"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21">
        <item x="1"/>
        <item x="0"/>
        <item m="1" x="19"/>
        <item x="5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2">
    <i>
      <x v="4"/>
    </i>
    <i r="1">
      <x/>
    </i>
    <i r="1">
      <x v="1"/>
    </i>
    <i r="1">
      <x v="4"/>
    </i>
    <i r="1">
      <x v="5"/>
    </i>
    <i>
      <x v="5"/>
    </i>
    <i r="1">
      <x v="3"/>
    </i>
    <i r="1">
      <x v="6"/>
    </i>
    <i>
      <x v="6"/>
    </i>
    <i r="1">
      <x v="7"/>
    </i>
    <i r="1">
      <x v="8"/>
    </i>
    <i r="1">
      <x v="9"/>
    </i>
    <i r="1">
      <x v="10"/>
    </i>
    <i>
      <x v="7"/>
    </i>
    <i r="1">
      <x v="4"/>
    </i>
    <i r="1">
      <x v="11"/>
    </i>
    <i r="1">
      <x v="12"/>
    </i>
    <i>
      <x v="8"/>
    </i>
    <i r="1">
      <x v="6"/>
    </i>
    <i r="1">
      <x v="13"/>
    </i>
    <i r="1">
      <x v="14"/>
    </i>
    <i r="1">
      <x v="15"/>
    </i>
    <i>
      <x v="9"/>
    </i>
    <i r="1">
      <x v="1"/>
    </i>
    <i r="1">
      <x v="16"/>
    </i>
    <i r="1">
      <x v="17"/>
    </i>
    <i r="1">
      <x v="18"/>
    </i>
    <i>
      <x v="10"/>
    </i>
    <i r="1">
      <x v="10"/>
    </i>
    <i r="1">
      <x v="12"/>
    </i>
    <i r="1"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C2150E-7B71-4168-8D78-4F165EA044F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Data da Venda">
  <location ref="B4:D37" firstHeaderRow="0" firstDataRow="1" firstDataCol="1"/>
  <pivotFields count="12">
    <pivotField showAll="0"/>
    <pivotField axis="axisRow" numFmtId="14" showAll="0">
      <items count="12">
        <item m="1" x="10"/>
        <item m="1" x="9"/>
        <item m="1" x="8"/>
        <item m="1"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19">
        <item x="1"/>
        <item x="0"/>
        <item m="1" x="17"/>
        <item x="7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3">
    <i>
      <x v="4"/>
    </i>
    <i r="1">
      <x/>
    </i>
    <i r="1">
      <x v="1"/>
    </i>
    <i r="1">
      <x v="4"/>
    </i>
    <i r="1">
      <x v="5"/>
    </i>
    <i>
      <x v="5"/>
    </i>
    <i r="1">
      <x v="4"/>
    </i>
    <i r="1">
      <x v="6"/>
    </i>
    <i>
      <x v="6"/>
    </i>
    <i r="1">
      <x v="3"/>
    </i>
    <i r="1">
      <x v="7"/>
    </i>
    <i r="1">
      <x v="8"/>
    </i>
    <i r="1">
      <x v="9"/>
    </i>
    <i>
      <x v="7"/>
    </i>
    <i r="1">
      <x/>
    </i>
    <i r="1">
      <x v="10"/>
    </i>
    <i r="1">
      <x v="11"/>
    </i>
    <i>
      <x v="8"/>
    </i>
    <i r="1">
      <x v="5"/>
    </i>
    <i r="1">
      <x v="8"/>
    </i>
    <i r="1">
      <x v="9"/>
    </i>
    <i r="1">
      <x v="12"/>
    </i>
    <i>
      <x v="9"/>
    </i>
    <i r="1">
      <x v="10"/>
    </i>
    <i r="1">
      <x v="13"/>
    </i>
    <i r="1">
      <x v="14"/>
    </i>
    <i>
      <x v="10"/>
    </i>
    <i r="1">
      <x v="7"/>
    </i>
    <i r="1">
      <x v="11"/>
    </i>
    <i r="1">
      <x v="15"/>
    </i>
    <i r="1">
      <x v="16"/>
    </i>
    <i r="1"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403E86-2A7A-4464-9DF1-86ED41D723B5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Região de Entrega">
  <location ref="B56:E86" firstHeaderRow="0" firstDataRow="1" firstDataCol="1"/>
  <pivotFields count="12">
    <pivotField showAll="0"/>
    <pivotField numFmtId="14" showAll="0"/>
    <pivotField axis="axisRow" showAll="0">
      <items count="19">
        <item x="1"/>
        <item x="0"/>
        <item m="1" x="17"/>
        <item x="7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7">
        <item x="0"/>
        <item m="1" x="5"/>
        <item x="2"/>
        <item x="1"/>
        <item x="3"/>
        <item x="4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30">
    <i>
      <x/>
    </i>
    <i r="1">
      <x/>
    </i>
    <i r="1">
      <x v="1"/>
    </i>
    <i r="1">
      <x v="4"/>
    </i>
    <i r="1">
      <x v="5"/>
    </i>
    <i>
      <x v="2"/>
    </i>
    <i r="1">
      <x v="3"/>
    </i>
    <i r="1">
      <x v="7"/>
    </i>
    <i r="1">
      <x v="8"/>
    </i>
    <i r="1">
      <x v="9"/>
    </i>
    <i r="1">
      <x v="11"/>
    </i>
    <i r="1">
      <x v="15"/>
    </i>
    <i r="1">
      <x v="16"/>
    </i>
    <i r="1">
      <x v="17"/>
    </i>
    <i>
      <x v="3"/>
    </i>
    <i r="1">
      <x v="4"/>
    </i>
    <i r="1">
      <x v="6"/>
    </i>
    <i r="1">
      <x v="10"/>
    </i>
    <i r="1">
      <x v="13"/>
    </i>
    <i r="1">
      <x v="14"/>
    </i>
    <i>
      <x v="4"/>
    </i>
    <i r="1">
      <x/>
    </i>
    <i r="1">
      <x v="10"/>
    </i>
    <i r="1">
      <x v="11"/>
    </i>
    <i>
      <x v="5"/>
    </i>
    <i r="1">
      <x v="5"/>
    </i>
    <i r="1">
      <x v="8"/>
    </i>
    <i r="1">
      <x v="9"/>
    </i>
    <i r="1"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Taxa de Entrega" fld="9" baseField="0" baseItem="0" numFmtId="44"/>
    <dataField name="Soma de Total" fld="10" baseField="0" baseItem="0" numFmtId="44"/>
  </dataFields>
  <formats count="11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8" type="button" dataOnly="0" labelOnly="1" outline="0" axis="axisRow" fieldPosition="0"/>
    </format>
    <format dxfId="12">
      <pivotArea dataOnly="0" labelOnly="1" fieldPosition="0">
        <references count="1">
          <reference field="8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2">
          <reference field="2" count="4">
            <x v="0"/>
            <x v="1"/>
            <x v="4"/>
            <x v="5"/>
          </reference>
          <reference field="8" count="1" selected="0">
            <x v="0"/>
          </reference>
        </references>
      </pivotArea>
    </format>
    <format dxfId="9">
      <pivotArea dataOnly="0" labelOnly="1" fieldPosition="0">
        <references count="2">
          <reference field="2" count="8">
            <x v="3"/>
            <x v="7"/>
            <x v="8"/>
            <x v="9"/>
            <x v="11"/>
            <x v="15"/>
            <x v="16"/>
            <x v="17"/>
          </reference>
          <reference field="8" count="1" selected="0">
            <x v="2"/>
          </reference>
        </references>
      </pivotArea>
    </format>
    <format dxfId="8">
      <pivotArea dataOnly="0" labelOnly="1" fieldPosition="0">
        <references count="2">
          <reference field="2" count="5">
            <x v="4"/>
            <x v="6"/>
            <x v="10"/>
            <x v="13"/>
            <x v="14"/>
          </reference>
          <reference field="8" count="1" selected="0">
            <x v="3"/>
          </reference>
        </references>
      </pivotArea>
    </format>
    <format dxfId="7">
      <pivotArea dataOnly="0" labelOnly="1" fieldPosition="0">
        <references count="2">
          <reference field="2" count="3">
            <x v="0"/>
            <x v="10"/>
            <x v="11"/>
          </reference>
          <reference field="8" count="1" selected="0">
            <x v="4"/>
          </reference>
        </references>
      </pivotArea>
    </format>
    <format dxfId="6">
      <pivotArea dataOnly="0" labelOnly="1" fieldPosition="0">
        <references count="2">
          <reference field="2" count="4">
            <x v="5"/>
            <x v="8"/>
            <x v="9"/>
            <x v="12"/>
          </reference>
          <reference field="8" count="1" selected="0">
            <x v="5"/>
          </reference>
        </references>
      </pivotArea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67557012-8BF7-483B-B5A9-BD0144DC5BA2}" sourceName="Data">
  <pivotTables>
    <pivotTable tabId="14" name="Tabela dinâmica1"/>
  </pivotTables>
  <data>
    <tabular pivotCacheId="1936380507" sortOrder="descending">
      <items count="7">
        <i x="0" s="1"/>
        <i x="1" s="1"/>
        <i x="2" s="1"/>
        <i x="3" s="1" nd="1"/>
        <i x="4" s="1" nd="1"/>
        <i x="5" s="1" nd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ntrega" xr10:uid="{5A81225B-155B-44AD-9E30-6DEC02118C28}" sourceName="Entrega">
  <pivotTables>
    <pivotTable tabId="14" name="Tabela dinâmica2"/>
  </pivotTables>
  <data>
    <tabular pivotCacheId="1936380507">
      <items count="6">
        <i x="0" s="1"/>
        <i x="1" s="1"/>
        <i x="2" s="1"/>
        <i x="3" s="1"/>
        <i x="4" s="1" nd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1" xr10:uid="{4AFE541C-22AA-47D3-8F9F-AC9026AF5761}" sourceName="Data">
  <pivotTables>
    <pivotTable tabId="16" name="Tabela dinâmica1"/>
  </pivotTables>
  <data>
    <tabular pivotCacheId="794513655" sortOrder="descending">
      <items count="11">
        <i x="0" s="1"/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ntrega1" xr10:uid="{E5B1C8C9-8718-4BBE-8B2F-3AB70944F85F}" sourceName="Entrega">
  <pivotTables>
    <pivotTable tabId="16" name="Tabela dinâmica2"/>
  </pivotTables>
  <data>
    <tabular pivotCacheId="794513655">
      <items count="6">
        <i x="3" s="1"/>
        <i x="1" s="1"/>
        <i x="0" s="1"/>
        <i x="2" s="1"/>
        <i x="4" s="1"/>
        <i x="5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ntrega2" xr10:uid="{5928F15C-6CC9-4884-A115-7EFE6BAA0F77}" sourceName="Entrega">
  <pivotTables>
    <pivotTable tabId="17" name="Tabela dinâmica2"/>
  </pivotTables>
  <data>
    <tabular pivotCacheId="247850066">
      <items count="6">
        <i x="3" s="1"/>
        <i x="2" s="1"/>
        <i x="0" s="1"/>
        <i x="4" s="1"/>
        <i x="1" s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2" xr10:uid="{D47D3802-9AB0-465A-9EA9-F4E29E793358}" sourceName="Data">
  <pivotTables>
    <pivotTable tabId="17" name="Tabela dinâmica1"/>
  </pivotTables>
  <data>
    <tabular pivotCacheId="247850066" sortOrder="descending">
      <items count="11">
        <i x="0" s="1"/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3" xr10:uid="{4E596ECF-B859-4358-9448-84E4D4486A30}" sourceName="Data">
  <pivotTables>
    <pivotTable tabId="18" name="Tabela dinâmica1"/>
  </pivotTables>
  <data>
    <tabular pivotCacheId="821101510" sortOrder="descending">
      <items count="11">
        <i x="0" s="1"/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ntrega3" xr10:uid="{AC165298-89A3-4CF6-98B4-9B63302528C4}" sourceName="Entrega">
  <pivotTables>
    <pivotTable tabId="18" name="Tabela dinâmica2"/>
  </pivotTables>
  <data>
    <tabular pivotCacheId="821101510">
      <items count="5">
        <i x="2" s="1"/>
        <i x="0" s="1"/>
        <i x="1" s="1"/>
        <i x="3" s="1"/>
        <i x="4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4" xr10:uid="{B738C933-E09F-4F3A-8483-D7E5324D0141}" sourceName="Data">
  <pivotTables>
    <pivotTable tabId="19" name="Tabela dinâmica1"/>
  </pivotTables>
  <data>
    <tabular pivotCacheId="17852202" sortOrder="descending">
      <items count="11">
        <i x="0" s="1"/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ntrega4" xr10:uid="{098671FE-1E6A-4F02-BF70-AEB02C4B6F88}" sourceName="Entrega">
  <pivotTables>
    <pivotTable tabId="19" name="Tabela dinâmica2"/>
  </pivotTables>
  <data>
    <tabular pivotCacheId="17852202">
      <items count="6">
        <i x="4" s="1"/>
        <i x="3" s="1"/>
        <i x="0" s="1"/>
        <i x="2" s="1"/>
        <i x="1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C71CEF4B-D2C0-497E-A949-8A033ACD3C5E}" cache="SegmentaçãodeDados_Data" caption="Data" rowHeight="234950"/>
  <slicer name="Entrega" xr10:uid="{17BF9626-E562-4A06-A160-0D2B031D7EEC}" cache="SegmentaçãodeDados_Entrega" caption="Entrega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1" xr10:uid="{68C356A2-C6D6-4BC6-9672-DCFBE1BE924A}" cache="SegmentaçãodeDados_Data1" caption="Data" rowHeight="234950"/>
  <slicer name="Entrega 1" xr10:uid="{2E577EB8-3987-4B25-AA66-D81705D7F242}" cache="SegmentaçãodeDados_Entrega1" caption="Entrega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ntrega 2" xr10:uid="{87995E5F-6E3F-4E60-A16C-5ED272E9F788}" cache="SegmentaçãodeDados_Entrega2" caption="Entrega" rowHeight="234950"/>
  <slicer name="Data 2" xr10:uid="{69FF25B4-CD97-42FE-B253-09A5AC0BF847}" cache="SegmentaçãodeDados_Data2" caption="Data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3" xr10:uid="{FB0B48DF-8D64-410D-BE76-10C1716FF196}" cache="SegmentaçãodeDados_Data3" caption="Data" rowHeight="234950"/>
  <slicer name="Entrega 3" xr10:uid="{1228CCBC-2B3D-49B2-8744-760296CD6990}" cache="SegmentaçãodeDados_Entrega3" caption="Entrega" rowHeight="2349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4" xr10:uid="{3AF683AA-C245-49F5-9BA8-B2509012205F}" cache="SegmentaçãodeDados_Data4" caption="Data" rowHeight="234950"/>
  <slicer name="Entrega 4" xr10:uid="{3B078AFB-EC9B-4525-9A62-BEBF72D0F197}" cache="SegmentaçãodeDados_Entrega4" caption="Entrega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7441AA-6E15-4782-A46D-962A76E9A9F6}" name="Despesas" displayName="Despesas" ref="B4:G29" totalsRowShown="0" headerRowDxfId="113" dataDxfId="112">
  <autoFilter ref="B4:G29" xr:uid="{567441AA-6E15-4782-A46D-962A76E9A9F6}"/>
  <tableColumns count="6">
    <tableColumn id="1" xr3:uid="{B2DE92E6-BC7F-4249-A3B4-71A78F9F6414}" name="Despesas de Funcionamento" dataDxfId="111"/>
    <tableColumn id="2" xr3:uid="{4ECB8E26-AD8F-4E76-81B2-E2BE37B70EDD}" name="Itens Despesas" dataDxfId="110"/>
    <tableColumn id="3" xr3:uid="{FA7A37A3-8079-47AA-9779-BDBE53FA95B7}" name="Data" dataDxfId="109"/>
    <tableColumn id="4" xr3:uid="{B02B7808-3ECC-4472-9596-ADAA2197530D}" name="Observação" dataDxfId="108"/>
    <tableColumn id="5" xr3:uid="{8418BEBD-1232-4A2B-A0BB-386904681C1A}" name="Valor Intermediário" dataDxfId="107" dataCellStyle="Moeda"/>
    <tableColumn id="6" xr3:uid="{88B6F52E-FD8B-4591-A895-3B5C7FDCB5BF}" name="Valor Final" dataDxfId="106" dataCellStyle="Moeda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FF4AC2-1C6C-424B-9F1B-5A01D43A25AA}" name="ComprasMerc" displayName="ComprasMerc" ref="B4:I30" totalsRowShown="0" headerRowDxfId="105" dataDxfId="104">
  <autoFilter ref="B4:I30" xr:uid="{3BFF4AC2-1C6C-424B-9F1B-5A01D43A25AA}"/>
  <sortState xmlns:xlrd2="http://schemas.microsoft.com/office/spreadsheetml/2017/richdata2" ref="B5:I30">
    <sortCondition descending="1" ref="B4:B30"/>
  </sortState>
  <tableColumns count="8">
    <tableColumn id="1" xr3:uid="{D68791CD-2189-49D5-9254-29B3F14B62B2}" name="Data" dataDxfId="103"/>
    <tableColumn id="2" xr3:uid="{F0F92174-8B4F-443A-B485-E2665FECA46B}" name="Fornecedor" dataDxfId="102"/>
    <tableColumn id="3" xr3:uid="{FBA90332-75F4-4030-B45A-79918EFE7B1B}" name="Mercadoria" dataDxfId="101"/>
    <tableColumn id="4" xr3:uid="{A701D436-7745-43D4-AE4C-307D268F7BC7}" name="Medida" dataDxfId="100">
      <calculatedColumnFormula>IFERROR(VLOOKUP(ComprasMerc[[#This Row],[Mercadoria]],'Cálculos e Anotações'!$K$5:$N$34,4,0),"")</calculatedColumnFormula>
    </tableColumn>
    <tableColumn id="5" xr3:uid="{7B048FD4-3DBE-4D72-81CD-FBF019060963}" name="Quantidade" dataDxfId="99"/>
    <tableColumn id="6" xr3:uid="{FB078700-0942-4767-B742-3443279CF4DA}" name="Preço Unitário" dataDxfId="98" dataCellStyle="Moeda">
      <calculatedColumnFormula>IFERROR(VLOOKUP(ComprasMerc[[#This Row],[Mercadoria]],'Cálculos e Anotações'!$K$5:$N$34,2,0),0)</calculatedColumnFormula>
    </tableColumn>
    <tableColumn id="7" xr3:uid="{34C83151-20E5-49CF-AFB5-EA00B157CCE4}" name="Desconto" dataDxfId="97" dataCellStyle="Porcentagem"/>
    <tableColumn id="8" xr3:uid="{0ACF0B5B-9F2F-4536-96D9-491D4FFB5DF3}" name="Valor Pago" dataDxfId="96" dataCellStyle="Moeda">
      <calculatedColumnFormula>ComprasMerc[[#This Row],[Quantidade]]*ComprasMerc[[#This Row],[Preço Unitário]]*(1-ComprasMerc[[#This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8BD361-8563-4486-80DD-81CD0062BBF5}" name="Investimentos" displayName="Investimentos" ref="B4:E8" totalsRowShown="0" headerRowDxfId="95" dataDxfId="94">
  <autoFilter ref="B4:E8" xr:uid="{0A8BD361-8563-4486-80DD-81CD0062BBF5}"/>
  <tableColumns count="4">
    <tableColumn id="1" xr3:uid="{6FB1A6AD-BA42-494F-9932-24DDC287923C}" name="Investimento" dataDxfId="93"/>
    <tableColumn id="2" xr3:uid="{264B04F9-A19C-467A-80E8-BF5CAB3962D9}" name="Data" dataDxfId="92"/>
    <tableColumn id="5" xr3:uid="{625BC33B-B3BC-4519-9BA9-39111DE87B9D}" name="Descrição" dataDxfId="91"/>
    <tableColumn id="4" xr3:uid="{3AE5AEBC-BA20-444D-872C-4E7FAE102E03}" name="Valor" dataDxfId="90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59EE60-7155-4A6B-B7FC-F47D7AE153EB}" name="Estoque" displayName="Estoque" ref="C4:I28" totalsRowShown="0" headerRowDxfId="89" dataDxfId="88">
  <autoFilter ref="C4:I28" xr:uid="{A159EE60-7155-4A6B-B7FC-F47D7AE153EB}"/>
  <tableColumns count="7">
    <tableColumn id="1" xr3:uid="{8F2D7EFC-8741-47F4-A9AA-5D26E8EDC021}" name="Produto" dataDxfId="87"/>
    <tableColumn id="2" xr3:uid="{812835B0-747C-4BFA-9743-994402A5428F}" name="Data da Última Compra" dataDxfId="86">
      <calculatedColumnFormula>IFERROR(INDEX(ComprasMerc[],MATCH(Estoque[[#This Row],[Produto]],ComprasMerc[Mercadoria],0),1),"")</calculatedColumnFormula>
    </tableColumn>
    <tableColumn id="3" xr3:uid="{5CA36892-F285-44D0-BE07-B1EA7209DCB9}" name="Quantidade Inicial" dataDxfId="85"/>
    <tableColumn id="4" xr3:uid="{C7B3E8DC-073D-4682-BD5A-6D2EDE60B29D}" name="Quantidade Comprada" dataDxfId="84">
      <calculatedColumnFormula>SUMIF(ComprasMerc[Mercadoria],Estoque[[#This Row],[Produto]],ComprasMerc[Quantidade])</calculatedColumnFormula>
    </tableColumn>
    <tableColumn id="5" xr3:uid="{6AD6C91D-28CD-4DF2-BED8-A581922B05F4}" name="Quantidade Vendida" dataDxfId="83">
      <calculatedColumnFormula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calculatedColumnFormula>
    </tableColumn>
    <tableColumn id="6" xr3:uid="{795CE364-9E1A-4DB0-BE29-DF58EFEE39E3}" name="Quantidade Atual" dataDxfId="82">
      <calculatedColumnFormula>Estoque[[#This Row],[Quantidade Inicial]]+Estoque[[#This Row],[Quantidade Comprada]]-Estoque[[#This Row],[Quantidade Vendida]]</calculatedColumnFormula>
    </tableColumn>
    <tableColumn id="7" xr3:uid="{05BAD242-BE37-4646-8F63-F7096A64518C}" name="Situação" dataDxfId="81">
      <calculatedColumnFormula>IF(Estoque[[#This Row],[Quantidade Atual]]&lt;100,IF(Estoque[[#This Row],[Quantidade Atual]]&lt;40,IF(Estoque[[#This Row],[Quantidade Atual]]&lt;=0,"Esgotado","Comprar"),"Atenção"),"OK")</calculatedColumnFormula>
    </tableColumn>
  </tableColumns>
  <tableStyleInfo name="TableStyleMedium4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2E5E3F-B70E-4602-8E31-32F111A259B1}" name="Semana1" displayName="Semana1" ref="B4:M19" totalsRowShown="0" headerRowDxfId="80" dataDxfId="79">
  <autoFilter ref="B4:M19" xr:uid="{0D2E5E3F-B70E-4602-8E31-32F111A259B1}"/>
  <sortState xmlns:xlrd2="http://schemas.microsoft.com/office/spreadsheetml/2017/richdata2" ref="B5:M19">
    <sortCondition descending="1" ref="B4:B19"/>
  </sortState>
  <tableColumns count="12">
    <tableColumn id="1" xr3:uid="{F32DB4B5-6832-40B2-ACC3-7226C7FF851A}" name="ID da Venda" dataDxfId="78"/>
    <tableColumn id="2" xr3:uid="{9DD748F9-0382-4250-A872-CBC681CFB541}" name="Data" dataDxfId="77"/>
    <tableColumn id="3" xr3:uid="{1D1996D9-C5BB-4902-A122-7261A8748255}" name="Produto" dataDxfId="76"/>
    <tableColumn id="4" xr3:uid="{BECBB83A-1E1B-4365-9C7E-83C335B868CD}" name="Medida" dataDxfId="75">
      <calculatedColumnFormula>IFERROR(VLOOKUP(Semana1[[#This Row],[Produto]],'Cálculos e Anotações'!$K$5:$N$34,4,0),"")</calculatedColumnFormula>
    </tableColumn>
    <tableColumn id="5" xr3:uid="{BFD07133-EADB-4BAF-A4CC-4A3CA08021E0}" name="Quantidade" dataDxfId="74"/>
    <tableColumn id="6" xr3:uid="{AA27A4AA-C509-40E4-BADE-C8BF7299A146}" name="Preço Unitário" dataDxfId="73" dataCellStyle="Moeda">
      <calculatedColumnFormula>IFERROR(VLOOKUP(Semana1[[#This Row],[Produto]],'Cálculos e Anotações'!$K$5:$N$34,3,0),0)</calculatedColumnFormula>
    </tableColumn>
    <tableColumn id="7" xr3:uid="{92AAF490-BD52-4D9B-B8AA-ECD10C787E87}" name="Subtotal" dataDxfId="72" dataCellStyle="Moeda">
      <calculatedColumnFormula>Semana1[[#This Row],[Quantidade]]*Semana1[[#This Row],[Preço Unitário]]</calculatedColumnFormula>
    </tableColumn>
    <tableColumn id="8" xr3:uid="{5A48E148-1166-4A6A-951C-DEBBD10D5572}" name="Desconto" dataDxfId="71" dataCellStyle="Porcentagem"/>
    <tableColumn id="9" xr3:uid="{2DBB5710-E3FE-48B3-9D54-1EAD55332211}" name="Entrega" dataDxfId="70"/>
    <tableColumn id="10" xr3:uid="{406CC8C4-7BC9-47C1-B720-B685D4F266FE}" name="Taxa de Entrega" dataDxfId="69" dataCellStyle="Moeda">
      <calculatedColumnFormula>IFERROR(IF(Semana1[[#This Row],[ID da Venda]]=B6,0,VLOOKUP(Semana1[[#This Row],[Entrega]],'Cálculos e Anotações'!$C$37:$D$41,2,FALSE)),0)</calculatedColumnFormula>
    </tableColumn>
    <tableColumn id="11" xr3:uid="{85F88708-CAC3-4928-ABBA-198E21027164}" name="Total" dataDxfId="68" dataCellStyle="Moeda">
      <calculatedColumnFormula>Semana1[[#This Row],[Subtotal]]*(1-Semana1[[#This Row],[Desconto]])+Semana1[[#This Row],[Taxa de Entrega]]</calculatedColumnFormula>
    </tableColumn>
    <tableColumn id="12" xr3:uid="{F1617A42-4834-483D-B819-DEDB09A711BE}" name="Total para o Cliente" dataDxfId="67" dataCellStyle="Moeda">
      <calculatedColumnFormula>IF(Semana1[[#This Row],[ID da Venda]]=B6,"",SUMIF(Semana1[ID da Venda],Semana1[[#This Row],[ID da Venda]],Semana1[Total]))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FCC2876-511D-4B78-B952-39FC5A5AE00C}" name="Semana2" displayName="Semana2" ref="B4:M29" totalsRowShown="0">
  <autoFilter ref="B4:M29" xr:uid="{1FCC2876-511D-4B78-B952-39FC5A5AE00C}"/>
  <sortState xmlns:xlrd2="http://schemas.microsoft.com/office/spreadsheetml/2017/richdata2" ref="B5:M29">
    <sortCondition descending="1" ref="C4:C29"/>
  </sortState>
  <tableColumns count="12">
    <tableColumn id="1" xr3:uid="{4DA2F13D-375C-4490-A42C-FF6DFF0FA4BB}" name="ID da Venda"/>
    <tableColumn id="2" xr3:uid="{B9CD125D-2AAE-41B5-85C9-3EBE52A33AA8}" name="Data" dataDxfId="50"/>
    <tableColumn id="3" xr3:uid="{9391C850-53A1-4EFD-958A-DECFD312E527}" name="Produto"/>
    <tableColumn id="4" xr3:uid="{E27AD2DC-B6D5-4270-A118-4D6554A249D8}" name="Medida" dataDxfId="49">
      <calculatedColumnFormula>IFERROR(VLOOKUP(Semana2[[#This Row],[Produto]],'Cálculos e Anotações'!$K$5:$N$34,4,0),"")</calculatedColumnFormula>
    </tableColumn>
    <tableColumn id="5" xr3:uid="{BAA4FB72-2540-41E4-871B-AC9BCAC24DF9}" name="Quantidade"/>
    <tableColumn id="6" xr3:uid="{E8D936EA-17DE-4432-AA5A-B47DE29D8F8C}" name="Preço Unitário" dataDxfId="48" dataCellStyle="Moeda">
      <calculatedColumnFormula>IFERROR(VLOOKUP(Semana2[[#This Row],[Produto]],'Cálculos e Anotações'!$K$5:$N$34,3,0),0)</calculatedColumnFormula>
    </tableColumn>
    <tableColumn id="7" xr3:uid="{AE8EE00F-35E3-4370-906C-8AAD24493672}" name="Subtotal" dataDxfId="47" dataCellStyle="Moeda">
      <calculatedColumnFormula>Semana2[[#This Row],[Quantidade]]*Semana2[[#This Row],[Preço Unitário]]</calculatedColumnFormula>
    </tableColumn>
    <tableColumn id="8" xr3:uid="{61C79C45-CCC6-4935-BBA8-5ECD2B7B6AC6}" name="Desconto" dataCellStyle="Porcentagem"/>
    <tableColumn id="9" xr3:uid="{5D18134C-9C09-49F0-BEFF-263FF7EFDDC8}" name="Entrega"/>
    <tableColumn id="10" xr3:uid="{4E32897D-D56D-43B9-A78B-46A96F59216E}" name="Taxa de Entrega" dataDxfId="46" dataCellStyle="Moeda">
      <calculatedColumnFormula>IFERROR(IF(Semana2[[#This Row],[ID da Venda]]=B6,0,VLOOKUP(Semana2[[#This Row],[Entrega]],'Cálculos e Anotações'!$C$37:$D$41,2,FALSE)),0)</calculatedColumnFormula>
    </tableColumn>
    <tableColumn id="11" xr3:uid="{B74BF2A5-4C00-44D8-9C39-03AF9FB3FE21}" name="Total" dataDxfId="45" dataCellStyle="Moeda">
      <calculatedColumnFormula>Semana2[[#This Row],[Subtotal]]*(1-Semana2[[#This Row],[Desconto]])+Semana2[[#This Row],[Taxa de Entrega]]</calculatedColumnFormula>
    </tableColumn>
    <tableColumn id="12" xr3:uid="{1F37D834-CAD5-41DC-AB2D-B6FD84369C62}" name="Total para o Cliente" dataDxfId="44" dataCellStyle="Moeda">
      <calculatedColumnFormula>IF(Semana2[[#This Row],[ID da Venda]]=B6,"",SUMIF(Semana2[ID da Venda],Semana2[[#This Row],[ID da Venda]],Semana2[Total]))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B7539C-BBB8-4CF4-85C2-A2F7BEC567EB}" name="Semana3" displayName="Semana3" ref="B4:M29" totalsRowShown="0">
  <autoFilter ref="B4:M29" xr:uid="{EFB7539C-BBB8-4CF4-85C2-A2F7BEC567EB}"/>
  <sortState xmlns:xlrd2="http://schemas.microsoft.com/office/spreadsheetml/2017/richdata2" ref="B5:M29">
    <sortCondition descending="1" ref="C4:C29"/>
  </sortState>
  <tableColumns count="12">
    <tableColumn id="1" xr3:uid="{E99F7AB2-E45D-40F0-9248-E91D4DB91B4E}" name="ID da Venda"/>
    <tableColumn id="2" xr3:uid="{78CEFF7B-7D7A-4693-AFB9-632569A3ABD2}" name="Data" dataDxfId="36"/>
    <tableColumn id="3" xr3:uid="{0F306865-D901-4595-8A11-AC0C5DB60CE6}" name="Produto"/>
    <tableColumn id="4" xr3:uid="{225B2477-01FE-4E86-B34C-5755676E1A8C}" name="Medida" dataDxfId="35">
      <calculatedColumnFormula>IFERROR(VLOOKUP(Semana3[[#This Row],[Produto]],'Cálculos e Anotações'!$K$5:$N$34,4,0),"")</calculatedColumnFormula>
    </tableColumn>
    <tableColumn id="5" xr3:uid="{ECDD55F7-2A9A-4DF5-A7F1-632DCC340327}" name="Quantidade"/>
    <tableColumn id="6" xr3:uid="{8D137AC3-CEF1-46B3-A57E-C29DBB19E727}" name="Preço Unitário" dataDxfId="34" dataCellStyle="Moeda">
      <calculatedColumnFormula>IFERROR(VLOOKUP(Semana3[[#This Row],[Produto]],'Cálculos e Anotações'!$K$5:$N$34,3,0),0)</calculatedColumnFormula>
    </tableColumn>
    <tableColumn id="7" xr3:uid="{73A89833-BA38-4BFD-AA2F-513DC091F064}" name="Subtotal" dataDxfId="33" dataCellStyle="Moeda">
      <calculatedColumnFormula>Semana3[[#This Row],[Quantidade]]*Semana3[[#This Row],[Preço Unitário]]</calculatedColumnFormula>
    </tableColumn>
    <tableColumn id="8" xr3:uid="{16FFF5A7-D564-4F68-84C7-E724BD35B3AD}" name="Desconto" dataCellStyle="Porcentagem"/>
    <tableColumn id="9" xr3:uid="{D048E426-4903-4194-9312-0EC5FB81C0BF}" name="Entrega"/>
    <tableColumn id="10" xr3:uid="{5F6312D6-E2B7-49A8-AF1C-5F8BFEB24AFD}" name="Taxa de Entrega" dataDxfId="32" dataCellStyle="Moeda">
      <calculatedColumnFormula>IFERROR(IF(Semana3[[#This Row],[ID da Venda]]=B6,0,VLOOKUP(Semana3[[#This Row],[Entrega]],'Cálculos e Anotações'!$C$37:$D$41,2,FALSE)),0)</calculatedColumnFormula>
    </tableColumn>
    <tableColumn id="11" xr3:uid="{45A1E342-45FD-41DD-A581-95A30F40E8A7}" name="Total" dataDxfId="31" dataCellStyle="Moeda">
      <calculatedColumnFormula>Semana3[[#This Row],[Subtotal]]*(1-Semana3[[#This Row],[Desconto]])+Semana3[[#This Row],[Taxa de Entrega]]</calculatedColumnFormula>
    </tableColumn>
    <tableColumn id="12" xr3:uid="{2409E06A-2B95-499E-82E7-FF507125E2E9}" name="Total para o Cliente" dataDxfId="30" dataCellStyle="Moeda">
      <calculatedColumnFormula>IF(Semana3[[#This Row],[ID da Venda]]=B6,"",SUMIF(Semana3[ID da Venda],Semana3[[#This Row],[ID da Venda]],Semana3[Total]))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05EC6EE-A3A6-418F-A5BE-5CF9A1732C9E}" name="Semana4" displayName="Semana4" ref="B4:M29" totalsRowShown="0">
  <autoFilter ref="B4:M29" xr:uid="{805EC6EE-A3A6-418F-A5BE-5CF9A1732C9E}"/>
  <sortState xmlns:xlrd2="http://schemas.microsoft.com/office/spreadsheetml/2017/richdata2" ref="B5:M29">
    <sortCondition descending="1" ref="C4:C29"/>
  </sortState>
  <tableColumns count="12">
    <tableColumn id="1" xr3:uid="{6FE37BCF-793A-4F94-8E1D-AF4D7B961700}" name="ID da Venda"/>
    <tableColumn id="2" xr3:uid="{CF57E339-94C7-4B21-915A-90F03967AC5E}" name="Data" dataDxfId="29"/>
    <tableColumn id="3" xr3:uid="{B2BE4465-A907-4796-968E-5782CC33A96B}" name="Produto"/>
    <tableColumn id="4" xr3:uid="{FF0A15E2-C848-4A3E-B0A1-821A3B53AFB4}" name="Medida" dataDxfId="28">
      <calculatedColumnFormula>IFERROR(VLOOKUP(Semana4[[#This Row],[Produto]],'Cálculos e Anotações'!$K$5:$N$34,4,0),"")</calculatedColumnFormula>
    </tableColumn>
    <tableColumn id="5" xr3:uid="{B1757376-6814-4FE3-9654-DDEF200EB5A0}" name="Quantidade"/>
    <tableColumn id="6" xr3:uid="{56D3B0A8-40BD-40F0-92DC-B4929B83642E}" name="Preço Unitário" dataDxfId="27" dataCellStyle="Moeda">
      <calculatedColumnFormula>IFERROR(VLOOKUP(Semana4[[#This Row],[Produto]],'Cálculos e Anotações'!$K$5:$N$34,3,0),0)</calculatedColumnFormula>
    </tableColumn>
    <tableColumn id="7" xr3:uid="{4E5E1074-00EC-4028-AD2B-DC6B570CBDE8}" name="Subtotal" dataDxfId="26" dataCellStyle="Moeda">
      <calculatedColumnFormula>Semana4[[#This Row],[Quantidade]]*Semana4[[#This Row],[Preço Unitário]]</calculatedColumnFormula>
    </tableColumn>
    <tableColumn id="8" xr3:uid="{4208AFA9-9929-49F2-A1B3-FD20B9C6F620}" name="Desconto" dataCellStyle="Porcentagem"/>
    <tableColumn id="9" xr3:uid="{080A3DAD-BDFE-459B-99FC-D397C0DF3A09}" name="Entrega"/>
    <tableColumn id="10" xr3:uid="{C23DCD69-040E-451F-9E55-FEA30B0704AD}" name="Taxa de Entrega" dataDxfId="25" dataCellStyle="Moeda">
      <calculatedColumnFormula>IFERROR(IF(Semana4[[#This Row],[ID da Venda]]=B6,0,VLOOKUP(Semana4[[#This Row],[Entrega]],'Cálculos e Anotações'!$C$37:$D$41,2,FALSE)),0)</calculatedColumnFormula>
    </tableColumn>
    <tableColumn id="11" xr3:uid="{6F2B3CCF-A016-4EE8-90D1-7EF2CA8685D7}" name="Total" dataDxfId="24" dataCellStyle="Moeda">
      <calculatedColumnFormula>Semana4[[#This Row],[Subtotal]]*(1-Semana4[[#This Row],[Desconto]])+Semana4[[#This Row],[Taxa de Entrega]]</calculatedColumnFormula>
    </tableColumn>
    <tableColumn id="12" xr3:uid="{B079AE87-DC05-4081-94D8-D7B8180A1AEC}" name="Total para o Cliente" dataDxfId="23" dataCellStyle="Moeda">
      <calculatedColumnFormula>IF(Semana4[[#This Row],[ID da Venda]]=B6,"",SUMIF(Semana4[ID da Venda],Semana4[[#This Row],[ID da Venda]],Semana4[Total]))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7294B7-F7AC-42E7-B96A-F017E9B477F0}" name="Semana5" displayName="Semana5" ref="C4:N29" totalsRowShown="0">
  <autoFilter ref="C4:N29" xr:uid="{4C7294B7-F7AC-42E7-B96A-F017E9B477F0}"/>
  <sortState xmlns:xlrd2="http://schemas.microsoft.com/office/spreadsheetml/2017/richdata2" ref="C5:N29">
    <sortCondition descending="1" ref="D4:D29"/>
  </sortState>
  <tableColumns count="12">
    <tableColumn id="1" xr3:uid="{A75238EC-E60B-42BD-8999-6DE11AA685D4}" name="ID da Venda"/>
    <tableColumn id="2" xr3:uid="{2BF86483-9908-4633-87FA-DB9D66692992}" name="Data" dataDxfId="22"/>
    <tableColumn id="3" xr3:uid="{6C4B4FBF-3072-4F74-8563-ED89C226427E}" name="Produto"/>
    <tableColumn id="4" xr3:uid="{5DE5677C-C396-4C53-9175-CA003A96B65D}" name="Medida" dataDxfId="21">
      <calculatedColumnFormula>IFERROR(VLOOKUP(Semana5[[#This Row],[Produto]],'Cálculos e Anotações'!$K$5:$N$34,4,0),"")</calculatedColumnFormula>
    </tableColumn>
    <tableColumn id="5" xr3:uid="{76AF0B18-0D0F-4642-AE76-76F07F94EB70}" name="Quantidade"/>
    <tableColumn id="6" xr3:uid="{96715D20-AB56-47AE-B0E6-EC1B4CEE2420}" name="Preço Unitário" dataDxfId="20" dataCellStyle="Moeda">
      <calculatedColumnFormula>IFERROR(VLOOKUP(Semana5[[#This Row],[Produto]],'Cálculos e Anotações'!$K$5:$N$34,3,0),0)</calculatedColumnFormula>
    </tableColumn>
    <tableColumn id="7" xr3:uid="{6C0B2A16-F97A-4624-AB21-52A891CB3D15}" name="Subtotal" dataDxfId="19" dataCellStyle="Moeda">
      <calculatedColumnFormula>Semana5[[#This Row],[Quantidade]]*Semana5[[#This Row],[Preço Unitário]]</calculatedColumnFormula>
    </tableColumn>
    <tableColumn id="8" xr3:uid="{B7B8F8BA-4869-49D7-B70F-8BACA15B5B75}" name="Desconto" dataCellStyle="Porcentagem"/>
    <tableColumn id="9" xr3:uid="{3706442F-F017-4EB8-A3C2-71D20A00A628}" name="Entrega"/>
    <tableColumn id="10" xr3:uid="{0D77FC7B-B494-4FD9-9B7F-8DE5CDB7C5F9}" name="Taxa de Entrega" dataDxfId="18" dataCellStyle="Moeda"/>
    <tableColumn id="11" xr3:uid="{FB1BE3FE-CD9E-415E-9301-3D4E28B3ABBE}" name="Total" dataDxfId="17" dataCellStyle="Moeda">
      <calculatedColumnFormula>Semana5[[#This Row],[Subtotal]]*(1-Semana5[[#This Row],[Desconto]])+Semana5[[#This Row],[Taxa de Entrega]]</calculatedColumnFormula>
    </tableColumn>
    <tableColumn id="12" xr3:uid="{33B05307-BE15-4346-838B-A97C7E720934}" name="Total para o Cliente" dataDxfId="16" dataCellStyle="Moe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1" dT="2025-08-20T19:46:41.01" personId="{E2F4522E-5707-4352-9EA5-834821816FC4}" id="{55EA58CA-E942-4CD6-9E0B-090BC641E4C9}">
    <text>Colocar descrição da despesa na coluna "Observação"</text>
  </threadedComment>
  <threadedComment ref="C19" dT="2025-08-20T19:46:41.01" personId="{E2F4522E-5707-4352-9EA5-834821816FC4}" id="{67D6EDA7-50F1-425C-BDD5-B2B40CC3DD45}">
    <text>Colocar descrição da despesa na coluna "Observação"</text>
  </threadedComment>
  <threadedComment ref="C27" dT="2025-08-20T19:46:41.01" personId="{E2F4522E-5707-4352-9EA5-834821816FC4}" id="{DF4BE7C9-74B8-419A-A157-6942240D40AD}">
    <text>Colocar descrição da despesa na coluna "Observação"</text>
  </threadedComment>
  <threadedComment ref="B29" dT="2025-08-20T19:46:41.01" personId="{E2F4522E-5707-4352-9EA5-834821816FC4}" id="{CE256954-C7F0-45C4-8F4D-C47A48C0C552}">
    <text>Colocar descrição da despesa na coluna "Observação"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5-08-20T20:28:15.74" personId="{E2F4522E-5707-4352-9EA5-834821816FC4}" id="{73EDAACB-A337-4D1D-8E3E-FFFFBB6FC479}">
    <text>Exemplos: carrinhos, balanças, cortadores e maquinários, geladeiras, etc.</text>
  </threadedComment>
  <threadedComment ref="B7" dT="2025-08-20T20:29:23.87" personId="{E2F4522E-5707-4352-9EA5-834821816FC4}" id="{70242A27-309B-4CD7-A515-BFF6C6192B8F}">
    <text>Exemplos: estantes, prateleiras, pintura,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8" dT="2025-08-20T20:25:53.51" personId="{E2F4522E-5707-4352-9EA5-834821816FC4}" id="{2D6C17EF-EC06-4B95-9080-8955ADC4A240}">
    <text>Impostos de 10%</text>
  </threadedComment>
  <threadedComment ref="C24" dT="2025-08-20T20:26:35.05" personId="{E2F4522E-5707-4352-9EA5-834821816FC4}" id="{18665474-1F35-41E1-8B2D-70B50D8AAD75}">
    <text>Impostos de 20%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2" dT="2025-08-23T01:00:40.30" personId="{E2F4522E-5707-4352-9EA5-834821816FC4}" id="{5C7E9B86-452C-4CB4-A79B-A1E48ED1CF5E}">
    <text>Tem mais uma tabela e gráfico abaixo, deixei um espaço caso a primeira tabela aumente. O mesmo para as análises das outras semanas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demy.com/course/curso-excel-complet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microsoft.com/office/2017/10/relationships/threadedComment" Target="../threadedComments/threadedComment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4.xml"/><Relationship Id="rId5" Type="http://schemas.microsoft.com/office/2007/relationships/slicer" Target="../slicers/slicer1.xml"/><Relationship Id="rId4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microsoft.com/office/2007/relationships/slicer" Target="../slicers/slicer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microsoft.com/office/2007/relationships/slicer" Target="../slicers/slicer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microsoft.com/office/2007/relationships/slicer" Target="../slicers/slicer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4" Type="http://schemas.microsoft.com/office/2007/relationships/slicer" Target="../slicers/slicer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19285-46D8-4E58-9A15-1EA9F118B07E}">
  <dimension ref="C3:AD65"/>
  <sheetViews>
    <sheetView showGridLines="0" topLeftCell="A40" zoomScaleNormal="100" workbookViewId="0">
      <selection activeCell="R18" sqref="R18:AD35"/>
    </sheetView>
  </sheetViews>
  <sheetFormatPr defaultRowHeight="14.4" x14ac:dyDescent="0.3"/>
  <cols>
    <col min="2" max="2" width="11.33203125" customWidth="1"/>
    <col min="3" max="3" width="14" customWidth="1"/>
    <col min="11" max="11" width="11.5546875" customWidth="1"/>
  </cols>
  <sheetData>
    <row r="3" spans="3:21" ht="23.4" x14ac:dyDescent="0.45">
      <c r="C3" s="104" t="s">
        <v>0</v>
      </c>
      <c r="D3" s="105"/>
      <c r="E3" s="105"/>
      <c r="F3" s="106"/>
      <c r="G3" s="106"/>
    </row>
    <row r="5" spans="3:21" ht="14.4" customHeight="1" x14ac:dyDescent="0.35">
      <c r="C5" s="67" t="s">
        <v>1</v>
      </c>
      <c r="D5" s="102"/>
      <c r="E5" s="102"/>
      <c r="F5" s="102"/>
      <c r="G5" s="101"/>
      <c r="H5" s="101"/>
      <c r="I5" s="101"/>
      <c r="J5" s="101"/>
      <c r="K5" s="101"/>
      <c r="L5" s="100"/>
      <c r="M5" s="100"/>
      <c r="N5" s="100"/>
    </row>
    <row r="6" spans="3:21" x14ac:dyDescent="0.3">
      <c r="C6" s="101"/>
      <c r="D6" s="101"/>
      <c r="E6" s="101"/>
      <c r="F6" s="101"/>
      <c r="G6" s="101"/>
      <c r="H6" s="101"/>
      <c r="I6" s="101"/>
      <c r="J6" s="101"/>
      <c r="K6" s="101"/>
      <c r="L6" s="100"/>
      <c r="M6" s="100"/>
      <c r="N6" s="100"/>
    </row>
    <row r="7" spans="3:21" ht="22.95" customHeight="1" x14ac:dyDescent="0.3">
      <c r="C7" s="112" t="s">
        <v>2</v>
      </c>
      <c r="D7" s="101"/>
      <c r="E7" s="101"/>
      <c r="F7" s="101"/>
      <c r="G7" s="101"/>
      <c r="H7" s="101"/>
      <c r="I7" s="101"/>
      <c r="J7" s="101"/>
      <c r="K7" s="101"/>
      <c r="L7" s="100"/>
      <c r="M7" s="100"/>
      <c r="N7" s="100"/>
    </row>
    <row r="8" spans="3:21" x14ac:dyDescent="0.3">
      <c r="C8" s="115" t="s">
        <v>3</v>
      </c>
      <c r="D8" s="115"/>
      <c r="E8" s="115"/>
      <c r="F8" s="115"/>
      <c r="G8" s="115"/>
      <c r="H8" s="115"/>
      <c r="I8" s="115"/>
      <c r="J8" s="115"/>
      <c r="K8" s="115"/>
      <c r="L8" s="100"/>
      <c r="M8" s="100"/>
      <c r="N8" s="100"/>
    </row>
    <row r="9" spans="3:21" x14ac:dyDescent="0.3">
      <c r="C9" s="115"/>
      <c r="D9" s="115"/>
      <c r="E9" s="115"/>
      <c r="F9" s="115"/>
      <c r="G9" s="115"/>
      <c r="H9" s="115"/>
      <c r="I9" s="115"/>
      <c r="J9" s="115"/>
      <c r="K9" s="115"/>
      <c r="L9" s="100"/>
      <c r="M9" s="100"/>
      <c r="N9" s="100"/>
    </row>
    <row r="10" spans="3:21" x14ac:dyDescent="0.3">
      <c r="C10" s="115"/>
      <c r="D10" s="115"/>
      <c r="E10" s="115"/>
      <c r="F10" s="115"/>
      <c r="G10" s="115"/>
      <c r="H10" s="115"/>
      <c r="I10" s="115"/>
      <c r="J10" s="115"/>
      <c r="K10" s="115"/>
      <c r="L10" s="100"/>
      <c r="M10" s="100"/>
      <c r="N10" s="100"/>
    </row>
    <row r="11" spans="3:21" ht="6.6" customHeight="1" x14ac:dyDescent="0.3">
      <c r="C11" s="115"/>
      <c r="D11" s="115"/>
      <c r="E11" s="115"/>
      <c r="F11" s="115"/>
      <c r="G11" s="115"/>
      <c r="H11" s="115"/>
      <c r="I11" s="115"/>
      <c r="J11" s="115"/>
      <c r="K11" s="115"/>
      <c r="L11" s="100"/>
      <c r="M11" s="100"/>
      <c r="N11" s="100"/>
    </row>
    <row r="12" spans="3:21" ht="6" customHeight="1" x14ac:dyDescent="0.3">
      <c r="C12" s="115"/>
      <c r="D12" s="115"/>
      <c r="E12" s="115"/>
      <c r="F12" s="115"/>
      <c r="G12" s="115"/>
      <c r="H12" s="115"/>
      <c r="I12" s="115"/>
      <c r="J12" s="115"/>
      <c r="K12" s="115"/>
    </row>
    <row r="13" spans="3:21" ht="6" customHeight="1" x14ac:dyDescent="0.3">
      <c r="C13" s="115"/>
      <c r="D13" s="115"/>
      <c r="E13" s="115"/>
      <c r="F13" s="115"/>
      <c r="G13" s="115"/>
      <c r="H13" s="115"/>
      <c r="I13" s="115"/>
      <c r="J13" s="115"/>
      <c r="K13" s="115"/>
    </row>
    <row r="14" spans="3:21" ht="14.4" hidden="1" customHeight="1" x14ac:dyDescent="0.3">
      <c r="C14" s="115"/>
      <c r="D14" s="115"/>
      <c r="E14" s="115"/>
      <c r="F14" s="115"/>
      <c r="G14" s="115"/>
      <c r="H14" s="115"/>
      <c r="I14" s="115"/>
      <c r="J14" s="115"/>
      <c r="K14" s="115"/>
    </row>
    <row r="15" spans="3:21" ht="21" x14ac:dyDescent="0.4">
      <c r="R15" s="113" t="s">
        <v>220</v>
      </c>
      <c r="S15" s="113"/>
      <c r="T15" s="113"/>
      <c r="U15" s="113"/>
    </row>
    <row r="16" spans="3:21" ht="18" x14ac:dyDescent="0.3">
      <c r="C16" s="103" t="s">
        <v>4</v>
      </c>
    </row>
    <row r="17" spans="3:30" ht="6" customHeight="1" x14ac:dyDescent="0.3"/>
    <row r="18" spans="3:30" ht="15" customHeight="1" x14ac:dyDescent="0.3">
      <c r="C18" s="99" t="s">
        <v>5</v>
      </c>
      <c r="D18" s="99"/>
      <c r="E18" s="99"/>
      <c r="F18" s="99"/>
      <c r="G18" s="99"/>
      <c r="H18" s="99"/>
      <c r="I18" s="99"/>
      <c r="J18" s="99"/>
      <c r="K18" s="79"/>
      <c r="L18" s="79"/>
      <c r="M18" s="79"/>
      <c r="N18" s="79"/>
      <c r="O18" s="79"/>
      <c r="P18" s="79"/>
      <c r="Q18" s="79"/>
      <c r="R18" s="116" t="s">
        <v>219</v>
      </c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</row>
    <row r="19" spans="3:30" ht="14.4" customHeight="1" x14ac:dyDescent="0.3">
      <c r="E19" s="79"/>
      <c r="F19" s="79"/>
      <c r="G19" s="79"/>
      <c r="H19" s="79"/>
      <c r="I19" s="79"/>
      <c r="J19" s="79"/>
      <c r="K19" s="79"/>
      <c r="L19" s="79"/>
      <c r="M19" s="79"/>
      <c r="N19" s="79"/>
      <c r="Q19" s="79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</row>
    <row r="20" spans="3:30" ht="15.6" x14ac:dyDescent="0.3">
      <c r="D20" s="108" t="s">
        <v>6</v>
      </c>
      <c r="E20" s="79"/>
      <c r="F20" s="79"/>
      <c r="G20" s="79"/>
      <c r="H20" s="79"/>
      <c r="I20" s="79"/>
      <c r="J20" s="79"/>
      <c r="K20" s="79"/>
      <c r="L20" s="79"/>
      <c r="M20" s="79"/>
      <c r="N20" s="79"/>
      <c r="Q20" s="79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</row>
    <row r="21" spans="3:30" ht="14.4" customHeight="1" x14ac:dyDescent="0.3">
      <c r="N21" s="79"/>
      <c r="Q21" s="79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</row>
    <row r="22" spans="3:30" ht="15.6" x14ac:dyDescent="0.3">
      <c r="D22" s="108" t="s">
        <v>7</v>
      </c>
      <c r="E22" s="107"/>
      <c r="F22" s="107"/>
      <c r="G22" s="107"/>
      <c r="H22" s="107"/>
      <c r="I22" s="107"/>
      <c r="J22" s="107"/>
      <c r="K22" s="107"/>
      <c r="L22" s="107"/>
      <c r="M22" s="107"/>
      <c r="Q22" s="79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</row>
    <row r="23" spans="3:30" ht="14.4" customHeight="1" x14ac:dyDescent="0.3"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</row>
    <row r="24" spans="3:30" ht="15.6" x14ac:dyDescent="0.3">
      <c r="D24" s="110" t="s">
        <v>8</v>
      </c>
      <c r="E24" s="110"/>
      <c r="F24" s="110"/>
      <c r="G24" s="110"/>
      <c r="H24" s="110"/>
      <c r="I24" s="110"/>
      <c r="J24" s="110"/>
      <c r="K24" s="79"/>
      <c r="Q24" s="79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</row>
    <row r="25" spans="3:30" ht="14.4" customHeight="1" x14ac:dyDescent="0.3">
      <c r="Q25" s="79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</row>
    <row r="26" spans="3:30" ht="15.6" x14ac:dyDescent="0.3">
      <c r="D26" s="110" t="s">
        <v>9</v>
      </c>
      <c r="E26" s="110"/>
      <c r="F26" s="110"/>
      <c r="G26" s="110"/>
      <c r="H26" s="110"/>
      <c r="I26" s="110"/>
      <c r="J26" s="110"/>
      <c r="K26" s="79"/>
      <c r="L26" s="79"/>
      <c r="M26" s="79"/>
      <c r="N26" s="79"/>
      <c r="O26" s="79"/>
      <c r="P26" s="79"/>
      <c r="Q26" s="79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</row>
    <row r="27" spans="3:30" ht="14.4" customHeight="1" x14ac:dyDescent="0.3"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</row>
    <row r="28" spans="3:30" ht="15.6" customHeight="1" x14ac:dyDescent="0.3">
      <c r="D28" s="110" t="s">
        <v>10</v>
      </c>
      <c r="E28" s="111"/>
      <c r="F28" s="111"/>
      <c r="G28" s="111"/>
      <c r="H28" s="111"/>
      <c r="I28" s="111"/>
      <c r="J28" s="111"/>
      <c r="K28" s="111"/>
      <c r="L28" s="110"/>
      <c r="M28" s="110"/>
      <c r="N28" s="110"/>
      <c r="O28" s="79"/>
      <c r="P28" s="79"/>
      <c r="Q28" s="79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</row>
    <row r="29" spans="3:30" ht="14.4" customHeight="1" x14ac:dyDescent="0.3"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</row>
    <row r="30" spans="3:30" ht="14.4" customHeight="1" x14ac:dyDescent="0.3">
      <c r="D30" s="109" t="s">
        <v>11</v>
      </c>
      <c r="O30" s="79"/>
      <c r="P30" s="79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</row>
    <row r="31" spans="3:30" ht="14.4" customHeight="1" x14ac:dyDescent="0.3">
      <c r="E31" s="79"/>
      <c r="F31" s="79"/>
      <c r="G31" s="79"/>
      <c r="H31" s="79"/>
      <c r="I31" s="79"/>
      <c r="J31" s="79"/>
      <c r="K31" s="79"/>
      <c r="L31" s="79"/>
      <c r="M31" s="79"/>
      <c r="N31" s="79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</row>
    <row r="32" spans="3:30" ht="14.4" customHeight="1" x14ac:dyDescent="0.3">
      <c r="D32" s="109" t="s">
        <v>12</v>
      </c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</row>
    <row r="33" spans="3:30" x14ac:dyDescent="0.3"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</row>
    <row r="34" spans="3:30" ht="18" x14ac:dyDescent="0.3">
      <c r="C34" s="112" t="s">
        <v>13</v>
      </c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</row>
    <row r="35" spans="3:30" x14ac:dyDescent="0.3"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</row>
    <row r="36" spans="3:30" x14ac:dyDescent="0.3">
      <c r="C36" s="115" t="s">
        <v>14</v>
      </c>
      <c r="D36" s="115"/>
      <c r="E36" s="115"/>
      <c r="F36" s="115"/>
      <c r="G36" s="115"/>
      <c r="H36" s="115"/>
      <c r="I36" s="115"/>
      <c r="J36" s="115"/>
      <c r="K36" s="115"/>
      <c r="L36" s="115"/>
    </row>
    <row r="37" spans="3:30" ht="15.6" x14ac:dyDescent="0.3"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U37" s="79"/>
      <c r="V37" s="79"/>
    </row>
    <row r="38" spans="3:30" ht="15.6" x14ac:dyDescent="0.3"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V38" s="79"/>
    </row>
    <row r="39" spans="3:30" ht="15.6" x14ac:dyDescent="0.3">
      <c r="C39" s="115"/>
      <c r="D39" s="115"/>
      <c r="E39" s="115"/>
      <c r="F39" s="115"/>
      <c r="G39" s="115"/>
      <c r="H39" s="115"/>
      <c r="I39" s="115"/>
      <c r="J39" s="115"/>
      <c r="K39" s="115"/>
      <c r="L39" s="115"/>
      <c r="U39" s="79"/>
      <c r="V39" s="79"/>
    </row>
    <row r="40" spans="3:30" ht="15.6" x14ac:dyDescent="0.3"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U40" s="79"/>
    </row>
    <row r="41" spans="3:30" ht="13.2" customHeight="1" x14ac:dyDescent="0.3">
      <c r="C41" s="115"/>
      <c r="D41" s="115"/>
      <c r="E41" s="115"/>
      <c r="F41" s="115"/>
      <c r="G41" s="115"/>
      <c r="H41" s="115"/>
      <c r="I41" s="115"/>
      <c r="J41" s="115"/>
      <c r="K41" s="115"/>
      <c r="L41" s="115"/>
    </row>
    <row r="42" spans="3:30" hidden="1" x14ac:dyDescent="0.3">
      <c r="C42" s="115"/>
      <c r="D42" s="115"/>
      <c r="E42" s="115"/>
      <c r="F42" s="115"/>
      <c r="G42" s="115"/>
      <c r="H42" s="115"/>
      <c r="I42" s="115"/>
      <c r="J42" s="115"/>
      <c r="K42" s="115"/>
      <c r="L42" s="115"/>
    </row>
    <row r="43" spans="3:30" hidden="1" x14ac:dyDescent="0.3">
      <c r="C43" s="115"/>
      <c r="D43" s="115"/>
      <c r="E43" s="115"/>
      <c r="F43" s="115"/>
      <c r="G43" s="115"/>
      <c r="H43" s="115"/>
      <c r="I43" s="115"/>
      <c r="J43" s="115"/>
      <c r="K43" s="115"/>
      <c r="L43" s="115"/>
    </row>
    <row r="44" spans="3:30" hidden="1" x14ac:dyDescent="0.3">
      <c r="C44" s="115"/>
      <c r="D44" s="115"/>
      <c r="E44" s="115"/>
      <c r="F44" s="115"/>
      <c r="G44" s="115"/>
      <c r="H44" s="115"/>
      <c r="I44" s="115"/>
      <c r="J44" s="115"/>
      <c r="K44" s="115"/>
      <c r="L44" s="115"/>
    </row>
    <row r="45" spans="3:30" hidden="1" x14ac:dyDescent="0.3">
      <c r="C45" s="115"/>
      <c r="D45" s="115"/>
      <c r="E45" s="115"/>
      <c r="F45" s="115"/>
      <c r="G45" s="115"/>
      <c r="H45" s="115"/>
      <c r="I45" s="115"/>
      <c r="J45" s="115"/>
      <c r="K45" s="115"/>
      <c r="L45" s="115"/>
    </row>
    <row r="47" spans="3:30" ht="18" x14ac:dyDescent="0.3">
      <c r="C47" s="112" t="s">
        <v>15</v>
      </c>
    </row>
    <row r="49" spans="3:11" x14ac:dyDescent="0.3">
      <c r="C49" t="s">
        <v>16</v>
      </c>
    </row>
    <row r="50" spans="3:11" x14ac:dyDescent="0.3">
      <c r="C50" s="114" t="s">
        <v>17</v>
      </c>
      <c r="D50" s="114"/>
      <c r="E50" s="114"/>
      <c r="F50" s="114"/>
      <c r="G50" s="114"/>
      <c r="H50" s="114"/>
      <c r="I50" s="114"/>
      <c r="J50" s="114"/>
    </row>
    <row r="51" spans="3:11" x14ac:dyDescent="0.3">
      <c r="C51" s="114"/>
      <c r="D51" s="114"/>
      <c r="E51" s="114"/>
      <c r="F51" s="114"/>
      <c r="G51" s="114"/>
      <c r="H51" s="114"/>
      <c r="I51" s="114"/>
      <c r="J51" s="114"/>
    </row>
    <row r="52" spans="3:11" x14ac:dyDescent="0.3">
      <c r="C52" s="114"/>
      <c r="D52" s="114"/>
      <c r="E52" s="114"/>
      <c r="F52" s="114"/>
      <c r="G52" s="114"/>
      <c r="H52" s="114"/>
      <c r="I52" s="114"/>
      <c r="J52" s="114"/>
    </row>
    <row r="53" spans="3:11" ht="4.2" customHeight="1" x14ac:dyDescent="0.3">
      <c r="C53" s="114"/>
      <c r="D53" s="114"/>
      <c r="E53" s="114"/>
      <c r="F53" s="114"/>
      <c r="G53" s="114"/>
      <c r="H53" s="114"/>
      <c r="I53" s="114"/>
      <c r="J53" s="114"/>
    </row>
    <row r="54" spans="3:11" hidden="1" x14ac:dyDescent="0.3">
      <c r="C54" s="114"/>
      <c r="D54" s="114"/>
      <c r="E54" s="114"/>
      <c r="F54" s="114"/>
      <c r="G54" s="114"/>
      <c r="H54" s="114"/>
      <c r="I54" s="114"/>
      <c r="J54" s="114"/>
    </row>
    <row r="55" spans="3:11" hidden="1" x14ac:dyDescent="0.3">
      <c r="C55" s="114"/>
      <c r="D55" s="114"/>
      <c r="E55" s="114"/>
      <c r="F55" s="114"/>
      <c r="G55" s="114"/>
      <c r="H55" s="114"/>
      <c r="I55" s="114"/>
      <c r="J55" s="114"/>
    </row>
    <row r="56" spans="3:11" hidden="1" x14ac:dyDescent="0.3">
      <c r="C56" s="114"/>
      <c r="D56" s="114"/>
      <c r="E56" s="114"/>
      <c r="F56" s="114"/>
      <c r="G56" s="114"/>
      <c r="H56" s="114"/>
      <c r="I56" s="114"/>
      <c r="J56" s="114"/>
    </row>
    <row r="58" spans="3:11" ht="17.399999999999999" customHeight="1" x14ac:dyDescent="0.3">
      <c r="C58" s="112" t="s">
        <v>18</v>
      </c>
    </row>
    <row r="59" spans="3:11" ht="14.4" customHeight="1" x14ac:dyDescent="0.3"/>
    <row r="60" spans="3:11" ht="14.4" customHeight="1" x14ac:dyDescent="0.3">
      <c r="C60" s="115" t="s">
        <v>19</v>
      </c>
      <c r="D60" s="115"/>
      <c r="E60" s="115"/>
      <c r="F60" s="115"/>
      <c r="G60" s="115"/>
      <c r="H60" s="115"/>
      <c r="I60" s="115"/>
      <c r="J60" s="115"/>
      <c r="K60" s="115"/>
    </row>
    <row r="61" spans="3:11" ht="14.4" customHeight="1" x14ac:dyDescent="0.3">
      <c r="C61" s="115"/>
      <c r="D61" s="115"/>
      <c r="E61" s="115"/>
      <c r="F61" s="115"/>
      <c r="G61" s="115"/>
      <c r="H61" s="115"/>
      <c r="I61" s="115"/>
      <c r="J61" s="115"/>
      <c r="K61" s="115"/>
    </row>
    <row r="62" spans="3:11" ht="14.4" customHeight="1" x14ac:dyDescent="0.3">
      <c r="C62" s="115"/>
      <c r="D62" s="115"/>
      <c r="E62" s="115"/>
      <c r="F62" s="115"/>
      <c r="G62" s="115"/>
      <c r="H62" s="115"/>
      <c r="I62" s="115"/>
      <c r="J62" s="115"/>
      <c r="K62" s="115"/>
    </row>
    <row r="63" spans="3:11" x14ac:dyDescent="0.3">
      <c r="C63" s="115"/>
      <c r="D63" s="115"/>
      <c r="E63" s="115"/>
      <c r="F63" s="115"/>
      <c r="G63" s="115"/>
      <c r="H63" s="115"/>
      <c r="I63" s="115"/>
      <c r="J63" s="115"/>
      <c r="K63" s="115"/>
    </row>
    <row r="64" spans="3:11" x14ac:dyDescent="0.3">
      <c r="C64" s="115"/>
      <c r="D64" s="115"/>
      <c r="E64" s="115"/>
      <c r="F64" s="115"/>
      <c r="G64" s="115"/>
      <c r="H64" s="115"/>
      <c r="I64" s="115"/>
      <c r="J64" s="115"/>
      <c r="K64" s="115"/>
    </row>
    <row r="65" spans="3:11" x14ac:dyDescent="0.3">
      <c r="C65" s="115"/>
      <c r="D65" s="115"/>
      <c r="E65" s="115"/>
      <c r="F65" s="115"/>
      <c r="G65" s="115"/>
      <c r="H65" s="115"/>
      <c r="I65" s="115"/>
      <c r="J65" s="115"/>
      <c r="K65" s="115"/>
    </row>
  </sheetData>
  <mergeCells count="5">
    <mergeCell ref="C50:J56"/>
    <mergeCell ref="C60:K65"/>
    <mergeCell ref="C36:L45"/>
    <mergeCell ref="C8:K14"/>
    <mergeCell ref="R18:AD35"/>
  </mergeCells>
  <hyperlinks>
    <hyperlink ref="C50:J56" r:id="rId1" display="Este projeto foi inspirado no &quot;Projeto 80/20&quot; do curso &quot;Do Básico ao Avançado - O Curso Completo de Microsoft Excel&quot;. A maior parte da estrutura e conceitos foram retirados dessa fonte, com algumas adaptações e conteúdos adicionais inseridos por mim." xr:uid="{B9A4D1CC-05E9-48A3-AEC4-58DD5000DFD6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tabSelected="1" zoomScaleNormal="100"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G33"/>
  <sheetViews>
    <sheetView showGridLines="0" zoomScaleNormal="100" workbookViewId="0">
      <selection activeCell="H4" sqref="H4"/>
    </sheetView>
  </sheetViews>
  <sheetFormatPr defaultRowHeight="14.4" x14ac:dyDescent="0.3"/>
  <cols>
    <col min="2" max="2" width="49.44140625" bestFit="1" customWidth="1"/>
    <col min="3" max="7" width="27.6640625" customWidth="1"/>
    <col min="9" max="9" width="21" bestFit="1" customWidth="1"/>
  </cols>
  <sheetData>
    <row r="2" spans="2:7" s="1" customFormat="1" ht="28.2" customHeight="1" x14ac:dyDescent="0.4">
      <c r="B2" s="3" t="s">
        <v>20</v>
      </c>
      <c r="C2" s="2"/>
      <c r="D2" s="2"/>
      <c r="E2" s="2"/>
      <c r="F2" s="2"/>
    </row>
    <row r="3" spans="2:7" ht="32.4" customHeight="1" x14ac:dyDescent="0.3"/>
    <row r="4" spans="2:7" ht="15.6" x14ac:dyDescent="0.3">
      <c r="B4" s="79" t="s">
        <v>21</v>
      </c>
      <c r="C4" s="79" t="s">
        <v>22</v>
      </c>
      <c r="D4" s="79" t="s">
        <v>23</v>
      </c>
      <c r="E4" s="79" t="s">
        <v>24</v>
      </c>
      <c r="F4" s="79" t="s">
        <v>25</v>
      </c>
      <c r="G4" s="79" t="s">
        <v>26</v>
      </c>
    </row>
    <row r="5" spans="2:7" ht="15.6" x14ac:dyDescent="0.3">
      <c r="B5" s="79" t="s">
        <v>27</v>
      </c>
      <c r="C5" s="79"/>
      <c r="D5" s="80">
        <v>45874</v>
      </c>
      <c r="E5" s="79"/>
      <c r="F5" s="82"/>
      <c r="G5" s="82">
        <v>8000</v>
      </c>
    </row>
    <row r="6" spans="2:7" ht="15.6" x14ac:dyDescent="0.3">
      <c r="B6" s="79" t="s">
        <v>28</v>
      </c>
      <c r="C6" s="79"/>
      <c r="D6" s="80"/>
      <c r="E6" s="79"/>
      <c r="F6" s="82"/>
      <c r="G6" s="82">
        <f>SUM(F7:F11)</f>
        <v>28600</v>
      </c>
    </row>
    <row r="7" spans="2:7" ht="15.6" x14ac:dyDescent="0.3">
      <c r="B7" s="79"/>
      <c r="C7" s="79" t="s">
        <v>29</v>
      </c>
      <c r="D7" s="80">
        <v>45874</v>
      </c>
      <c r="E7" s="79"/>
      <c r="F7" s="82">
        <v>18000</v>
      </c>
      <c r="G7" s="82"/>
    </row>
    <row r="8" spans="2:7" ht="15.6" x14ac:dyDescent="0.3">
      <c r="B8" s="79"/>
      <c r="C8" s="79" t="s">
        <v>30</v>
      </c>
      <c r="D8" s="80">
        <v>45874</v>
      </c>
      <c r="E8" s="79"/>
      <c r="F8" s="82">
        <v>800</v>
      </c>
      <c r="G8" s="82"/>
    </row>
    <row r="9" spans="2:7" ht="15.6" x14ac:dyDescent="0.3">
      <c r="B9" s="79"/>
      <c r="C9" s="79" t="s">
        <v>31</v>
      </c>
      <c r="D9" s="80">
        <v>45889</v>
      </c>
      <c r="E9" s="79" t="s">
        <v>32</v>
      </c>
      <c r="F9" s="82">
        <v>6300</v>
      </c>
      <c r="G9" s="82"/>
    </row>
    <row r="10" spans="2:7" ht="15.6" x14ac:dyDescent="0.3">
      <c r="B10" s="79"/>
      <c r="C10" s="79" t="s">
        <v>33</v>
      </c>
      <c r="D10" s="80">
        <v>45870</v>
      </c>
      <c r="E10" s="79"/>
      <c r="F10" s="82">
        <v>2000</v>
      </c>
      <c r="G10" s="82"/>
    </row>
    <row r="11" spans="2:7" ht="15.6" x14ac:dyDescent="0.3">
      <c r="B11" s="79"/>
      <c r="C11" s="79" t="s">
        <v>34</v>
      </c>
      <c r="D11" s="80">
        <v>45879</v>
      </c>
      <c r="E11" s="79" t="s">
        <v>35</v>
      </c>
      <c r="F11" s="82">
        <v>1500</v>
      </c>
      <c r="G11" s="82"/>
    </row>
    <row r="12" spans="2:7" ht="15.6" x14ac:dyDescent="0.3">
      <c r="B12" s="79" t="s">
        <v>36</v>
      </c>
      <c r="C12" s="79"/>
      <c r="D12" s="80">
        <v>45881</v>
      </c>
      <c r="E12" s="79"/>
      <c r="F12" s="82"/>
      <c r="G12" s="82">
        <v>2300</v>
      </c>
    </row>
    <row r="13" spans="2:7" ht="15.6" x14ac:dyDescent="0.3">
      <c r="B13" s="79" t="s">
        <v>31</v>
      </c>
      <c r="C13" s="79"/>
      <c r="D13" s="80">
        <v>45889</v>
      </c>
      <c r="E13" s="79" t="s">
        <v>37</v>
      </c>
      <c r="F13" s="82"/>
      <c r="G13" s="82">
        <v>9000</v>
      </c>
    </row>
    <row r="14" spans="2:7" ht="15.6" x14ac:dyDescent="0.3">
      <c r="B14" s="79" t="s">
        <v>38</v>
      </c>
      <c r="C14" s="79"/>
      <c r="D14" s="80"/>
      <c r="E14" s="79"/>
      <c r="F14" s="82"/>
      <c r="G14" s="82">
        <f>SUM(F15:F19)</f>
        <v>9400</v>
      </c>
    </row>
    <row r="15" spans="2:7" ht="15.6" x14ac:dyDescent="0.3">
      <c r="B15" s="79"/>
      <c r="C15" s="79" t="s">
        <v>39</v>
      </c>
      <c r="D15" s="80">
        <v>45891</v>
      </c>
      <c r="E15" s="79"/>
      <c r="F15" s="82">
        <v>800</v>
      </c>
      <c r="G15" s="82"/>
    </row>
    <row r="16" spans="2:7" ht="15.6" x14ac:dyDescent="0.3">
      <c r="B16" s="79"/>
      <c r="C16" s="79" t="s">
        <v>40</v>
      </c>
      <c r="D16" s="80">
        <v>45884</v>
      </c>
      <c r="E16" s="79"/>
      <c r="F16" s="82">
        <v>7500</v>
      </c>
      <c r="G16" s="82"/>
    </row>
    <row r="17" spans="2:7" ht="15.6" x14ac:dyDescent="0.3">
      <c r="B17" s="79"/>
      <c r="C17" s="79" t="s">
        <v>41</v>
      </c>
      <c r="D17" s="80">
        <v>45894</v>
      </c>
      <c r="E17" s="79"/>
      <c r="F17" s="82">
        <v>400</v>
      </c>
      <c r="G17" s="82"/>
    </row>
    <row r="18" spans="2:7" ht="15.6" x14ac:dyDescent="0.3">
      <c r="B18" s="79"/>
      <c r="C18" s="79" t="s">
        <v>42</v>
      </c>
      <c r="D18" s="80">
        <v>45894</v>
      </c>
      <c r="E18" s="79"/>
      <c r="F18" s="82">
        <v>450</v>
      </c>
      <c r="G18" s="82"/>
    </row>
    <row r="19" spans="2:7" ht="15.6" x14ac:dyDescent="0.3">
      <c r="B19" s="79"/>
      <c r="C19" s="79" t="s">
        <v>34</v>
      </c>
      <c r="D19" s="80">
        <v>45879</v>
      </c>
      <c r="E19" s="79" t="s">
        <v>43</v>
      </c>
      <c r="F19" s="82">
        <v>250</v>
      </c>
      <c r="G19" s="82"/>
    </row>
    <row r="20" spans="2:7" ht="15.6" x14ac:dyDescent="0.3">
      <c r="B20" s="79" t="s">
        <v>44</v>
      </c>
      <c r="C20" s="79"/>
      <c r="D20" s="80">
        <v>45879</v>
      </c>
      <c r="E20" s="79"/>
      <c r="F20" s="82"/>
      <c r="G20" s="82">
        <v>1800</v>
      </c>
    </row>
    <row r="21" spans="2:7" ht="15.6" x14ac:dyDescent="0.3">
      <c r="B21" s="79" t="s">
        <v>45</v>
      </c>
      <c r="C21" s="79"/>
      <c r="D21" s="80"/>
      <c r="E21" s="79"/>
      <c r="F21" s="82"/>
      <c r="G21" s="82">
        <f>SUM(F22:F27)</f>
        <v>7200</v>
      </c>
    </row>
    <row r="22" spans="2:7" ht="15.6" x14ac:dyDescent="0.3">
      <c r="B22" s="79"/>
      <c r="C22" s="79" t="s">
        <v>46</v>
      </c>
      <c r="D22" s="80">
        <v>45897</v>
      </c>
      <c r="E22" s="79" t="s">
        <v>47</v>
      </c>
      <c r="F22" s="82">
        <v>1500</v>
      </c>
      <c r="G22" s="82"/>
    </row>
    <row r="23" spans="2:7" ht="15.6" x14ac:dyDescent="0.3">
      <c r="B23" s="79"/>
      <c r="C23" s="79" t="s">
        <v>48</v>
      </c>
      <c r="D23" s="80">
        <v>45884</v>
      </c>
      <c r="E23" s="79"/>
      <c r="F23" s="82">
        <v>1200</v>
      </c>
      <c r="G23" s="82"/>
    </row>
    <row r="24" spans="2:7" ht="15.6" x14ac:dyDescent="0.3">
      <c r="B24" s="79"/>
      <c r="C24" s="79" t="s">
        <v>49</v>
      </c>
      <c r="D24" s="80">
        <v>45879</v>
      </c>
      <c r="E24" s="79"/>
      <c r="F24" s="82">
        <v>1000</v>
      </c>
      <c r="G24" s="82"/>
    </row>
    <row r="25" spans="2:7" ht="15.6" x14ac:dyDescent="0.3">
      <c r="B25" s="79"/>
      <c r="C25" s="79" t="s">
        <v>50</v>
      </c>
      <c r="D25" s="80">
        <v>45870</v>
      </c>
      <c r="E25" s="79" t="s">
        <v>51</v>
      </c>
      <c r="F25" s="82">
        <v>2000</v>
      </c>
      <c r="G25" s="82"/>
    </row>
    <row r="26" spans="2:7" ht="15.6" x14ac:dyDescent="0.3">
      <c r="B26" s="79"/>
      <c r="C26" s="79" t="s">
        <v>52</v>
      </c>
      <c r="D26" s="80">
        <v>45896</v>
      </c>
      <c r="E26" s="79" t="s">
        <v>53</v>
      </c>
      <c r="F26" s="82">
        <v>1000</v>
      </c>
      <c r="G26" s="82"/>
    </row>
    <row r="27" spans="2:7" ht="15.6" x14ac:dyDescent="0.3">
      <c r="B27" s="79"/>
      <c r="C27" s="79" t="s">
        <v>34</v>
      </c>
      <c r="D27" s="80">
        <v>45898</v>
      </c>
      <c r="E27" s="79" t="s">
        <v>54</v>
      </c>
      <c r="F27" s="82">
        <v>500</v>
      </c>
      <c r="G27" s="82"/>
    </row>
    <row r="28" spans="2:7" ht="15.6" x14ac:dyDescent="0.3">
      <c r="B28" s="79" t="s">
        <v>55</v>
      </c>
      <c r="C28" s="79"/>
      <c r="D28" s="80">
        <v>45898</v>
      </c>
      <c r="E28" s="79"/>
      <c r="F28" s="82"/>
      <c r="G28" s="82">
        <v>600</v>
      </c>
    </row>
    <row r="29" spans="2:7" ht="15.6" x14ac:dyDescent="0.3">
      <c r="B29" s="79" t="s">
        <v>34</v>
      </c>
      <c r="C29" s="79"/>
      <c r="D29" s="80">
        <v>45898</v>
      </c>
      <c r="E29" s="79" t="s">
        <v>56</v>
      </c>
      <c r="F29" s="82"/>
      <c r="G29" s="82">
        <v>1500</v>
      </c>
    </row>
    <row r="31" spans="2:7" ht="24" thickBot="1" x14ac:dyDescent="0.5">
      <c r="B31" s="33" t="s">
        <v>57</v>
      </c>
      <c r="C31" s="33"/>
      <c r="D31" s="33"/>
      <c r="E31" s="33"/>
      <c r="F31" s="33"/>
      <c r="G31" s="34">
        <f>SUM(Despesas[Valor Final])</f>
        <v>68400</v>
      </c>
    </row>
    <row r="32" spans="2:7" ht="24" thickBot="1" x14ac:dyDescent="0.5">
      <c r="B32" s="35" t="s">
        <v>58</v>
      </c>
      <c r="C32" s="35"/>
      <c r="D32" s="35"/>
      <c r="E32" s="35"/>
      <c r="F32" s="35"/>
      <c r="G32" s="36">
        <f>SUM(ComprasMerc[Valor Pago])</f>
        <v>86766.3</v>
      </c>
    </row>
    <row r="33" spans="2:7" ht="23.4" x14ac:dyDescent="0.45">
      <c r="B33" s="37" t="s">
        <v>59</v>
      </c>
      <c r="C33" s="37"/>
      <c r="D33" s="37"/>
      <c r="E33" s="37"/>
      <c r="F33" s="37"/>
      <c r="G33" s="38">
        <f>SUM(G31:G32)</f>
        <v>155166.29999999999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I33"/>
  <sheetViews>
    <sheetView showGridLines="0" zoomScaleNormal="100" workbookViewId="0"/>
  </sheetViews>
  <sheetFormatPr defaultRowHeight="14.4" x14ac:dyDescent="0.3"/>
  <cols>
    <col min="2" max="2" width="21.5546875" customWidth="1"/>
    <col min="3" max="3" width="43" customWidth="1"/>
    <col min="4" max="4" width="21.5546875" customWidth="1"/>
    <col min="5" max="5" width="14.6640625" customWidth="1"/>
    <col min="6" max="6" width="16.109375" customWidth="1"/>
    <col min="7" max="7" width="21.5546875" customWidth="1"/>
    <col min="8" max="8" width="13.33203125" customWidth="1"/>
    <col min="9" max="9" width="21.5546875" customWidth="1"/>
  </cols>
  <sheetData>
    <row r="2" spans="2:9" s="1" customFormat="1" ht="33.6" customHeight="1" x14ac:dyDescent="0.4">
      <c r="B2" s="3" t="s">
        <v>60</v>
      </c>
      <c r="C2" s="2"/>
      <c r="D2" s="2"/>
      <c r="E2" s="2"/>
      <c r="F2" s="2"/>
    </row>
    <row r="3" spans="2:9" ht="32.4" customHeight="1" x14ac:dyDescent="0.3"/>
    <row r="4" spans="2:9" ht="15.6" x14ac:dyDescent="0.3">
      <c r="B4" s="79" t="s">
        <v>23</v>
      </c>
      <c r="C4" s="79" t="s">
        <v>61</v>
      </c>
      <c r="D4" s="79" t="s">
        <v>62</v>
      </c>
      <c r="E4" s="79" t="s">
        <v>63</v>
      </c>
      <c r="F4" s="79" t="s">
        <v>64</v>
      </c>
      <c r="G4" s="79" t="s">
        <v>65</v>
      </c>
      <c r="H4" s="79" t="s">
        <v>66</v>
      </c>
      <c r="I4" s="79" t="s">
        <v>67</v>
      </c>
    </row>
    <row r="5" spans="2:9" ht="15.6" x14ac:dyDescent="0.3">
      <c r="B5" s="80">
        <v>45884</v>
      </c>
      <c r="C5" s="79" t="s">
        <v>68</v>
      </c>
      <c r="D5" s="79" t="s">
        <v>69</v>
      </c>
      <c r="E5" s="79" t="str">
        <f>IFERROR(VLOOKUP(ComprasMerc[[#This Row],[Mercadoria]],'Cálculos e Anotações'!$K$5:$N$34,4,0),"")</f>
        <v>Kg</v>
      </c>
      <c r="F5" s="79">
        <v>250</v>
      </c>
      <c r="G5" s="82">
        <f>IFERROR(VLOOKUP(ComprasMerc[[#This Row],[Mercadoria]],'Cálculos e Anotações'!$K$5:$N$34,2,0),0)</f>
        <v>5.7</v>
      </c>
      <c r="H5" s="83">
        <v>0.04</v>
      </c>
      <c r="I5" s="82">
        <f>ComprasMerc[[#This Row],[Quantidade]]*ComprasMerc[[#This Row],[Preço Unitário]]*(1-ComprasMerc[[#This Row],[Desconto]])</f>
        <v>1368</v>
      </c>
    </row>
    <row r="6" spans="2:9" ht="15.6" x14ac:dyDescent="0.3">
      <c r="B6" s="80">
        <v>45884</v>
      </c>
      <c r="C6" s="79" t="s">
        <v>68</v>
      </c>
      <c r="D6" s="79" t="s">
        <v>70</v>
      </c>
      <c r="E6" s="79" t="str">
        <f>IFERROR(VLOOKUP(ComprasMerc[[#This Row],[Mercadoria]],'Cálculos e Anotações'!$K$5:$N$34,4,0),"")</f>
        <v>Kg</v>
      </c>
      <c r="F6" s="79">
        <v>150</v>
      </c>
      <c r="G6" s="82">
        <f>IFERROR(VLOOKUP(ComprasMerc[[#This Row],[Mercadoria]],'Cálculos e Anotações'!$K$5:$N$34,2,0),0)</f>
        <v>9.5</v>
      </c>
      <c r="H6" s="83"/>
      <c r="I6" s="82">
        <f>ComprasMerc[[#This Row],[Quantidade]]*ComprasMerc[[#This Row],[Preço Unitário]]*(1-ComprasMerc[[#This Row],[Desconto]])</f>
        <v>1425</v>
      </c>
    </row>
    <row r="7" spans="2:9" ht="15.6" x14ac:dyDescent="0.3">
      <c r="B7" s="80">
        <v>45877</v>
      </c>
      <c r="C7" s="79" t="s">
        <v>71</v>
      </c>
      <c r="D7" s="79" t="s">
        <v>72</v>
      </c>
      <c r="E7" s="79" t="str">
        <f>IFERROR(VLOOKUP(ComprasMerc[[#This Row],[Mercadoria]],'Cálculos e Anotações'!$K$5:$N$34,4,0),"")</f>
        <v>Kg</v>
      </c>
      <c r="F7" s="79">
        <v>250</v>
      </c>
      <c r="G7" s="82">
        <f>IFERROR(VLOOKUP(ComprasMerc[[#This Row],[Mercadoria]],'Cálculos e Anotações'!$K$5:$N$34,2,0),0)</f>
        <v>26.9</v>
      </c>
      <c r="H7" s="83"/>
      <c r="I7" s="82">
        <f>ComprasMerc[[#This Row],[Quantidade]]*ComprasMerc[[#This Row],[Preço Unitário]]*(1-ComprasMerc[[#This Row],[Desconto]])</f>
        <v>6725</v>
      </c>
    </row>
    <row r="8" spans="2:9" ht="15.6" x14ac:dyDescent="0.3">
      <c r="B8" s="80">
        <v>45875</v>
      </c>
      <c r="C8" s="79" t="s">
        <v>73</v>
      </c>
      <c r="D8" s="79" t="s">
        <v>74</v>
      </c>
      <c r="E8" s="79" t="str">
        <f>IFERROR(VLOOKUP(ComprasMerc[[#This Row],[Mercadoria]],'Cálculos e Anotações'!$K$5:$N$34,4,0),"")</f>
        <v>Lata</v>
      </c>
      <c r="F8" s="79">
        <v>1800</v>
      </c>
      <c r="G8" s="82">
        <f>IFERROR(VLOOKUP(ComprasMerc[[#This Row],[Mercadoria]],'Cálculos e Anotações'!$K$5:$N$34,2,0),0)</f>
        <v>2.5</v>
      </c>
      <c r="H8" s="83"/>
      <c r="I8" s="82">
        <f>ComprasMerc[[#This Row],[Quantidade]]*ComprasMerc[[#This Row],[Preço Unitário]]*(1-ComprasMerc[[#This Row],[Desconto]])</f>
        <v>4500</v>
      </c>
    </row>
    <row r="9" spans="2:9" ht="15.6" x14ac:dyDescent="0.3">
      <c r="B9" s="80">
        <v>45874</v>
      </c>
      <c r="C9" s="79" t="s">
        <v>68</v>
      </c>
      <c r="D9" s="79" t="s">
        <v>75</v>
      </c>
      <c r="E9" s="79" t="str">
        <f>IFERROR(VLOOKUP(ComprasMerc[[#This Row],[Mercadoria]],'Cálculos e Anotações'!$K$5:$N$34,4,0),"")</f>
        <v>Unidade</v>
      </c>
      <c r="F9" s="79">
        <v>300</v>
      </c>
      <c r="G9" s="82">
        <f>IFERROR(VLOOKUP(ComprasMerc[[#This Row],[Mercadoria]],'Cálculos e Anotações'!$K$5:$N$34,2,0),0)</f>
        <v>3.1</v>
      </c>
      <c r="H9" s="83">
        <v>0.05</v>
      </c>
      <c r="I9" s="82">
        <f>ComprasMerc[[#This Row],[Quantidade]]*ComprasMerc[[#This Row],[Preço Unitário]]*(1-ComprasMerc[[#This Row],[Desconto]])</f>
        <v>883.5</v>
      </c>
    </row>
    <row r="10" spans="2:9" ht="15.6" x14ac:dyDescent="0.3">
      <c r="B10" s="80">
        <v>45874</v>
      </c>
      <c r="C10" s="79" t="s">
        <v>76</v>
      </c>
      <c r="D10" s="79" t="s">
        <v>77</v>
      </c>
      <c r="E10" s="79" t="str">
        <f>IFERROR(VLOOKUP(ComprasMerc[[#This Row],[Mercadoria]],'Cálculos e Anotações'!$K$5:$N$34,4,0),"")</f>
        <v>Pacote</v>
      </c>
      <c r="F10" s="79">
        <v>250</v>
      </c>
      <c r="G10" s="82">
        <f>IFERROR(VLOOKUP(ComprasMerc[[#This Row],[Mercadoria]],'Cálculos e Anotações'!$K$5:$N$34,2,0),0)</f>
        <v>1.1499999999999999</v>
      </c>
      <c r="H10" s="83"/>
      <c r="I10" s="82">
        <f>ComprasMerc[[#This Row],[Quantidade]]*ComprasMerc[[#This Row],[Preço Unitário]]*(1-ComprasMerc[[#This Row],[Desconto]])</f>
        <v>287.5</v>
      </c>
    </row>
    <row r="11" spans="2:9" ht="15.6" x14ac:dyDescent="0.3">
      <c r="B11" s="80">
        <v>45873</v>
      </c>
      <c r="C11" s="79" t="s">
        <v>76</v>
      </c>
      <c r="D11" s="79" t="s">
        <v>78</v>
      </c>
      <c r="E11" s="79" t="str">
        <f>IFERROR(VLOOKUP(ComprasMerc[[#This Row],[Mercadoria]],'Cálculos e Anotações'!$K$5:$N$34,4,0),"")</f>
        <v>Kg</v>
      </c>
      <c r="F11" s="79">
        <v>800</v>
      </c>
      <c r="G11" s="82">
        <f>IFERROR(VLOOKUP(ComprasMerc[[#This Row],[Mercadoria]],'Cálculos e Anotações'!$K$5:$N$34,2,0),0)</f>
        <v>4.8</v>
      </c>
      <c r="H11" s="83"/>
      <c r="I11" s="82">
        <f>ComprasMerc[[#This Row],[Quantidade]]*ComprasMerc[[#This Row],[Preço Unitário]]*(1-ComprasMerc[[#This Row],[Desconto]])</f>
        <v>3840</v>
      </c>
    </row>
    <row r="12" spans="2:9" ht="15.6" x14ac:dyDescent="0.3">
      <c r="B12" s="80">
        <v>45873</v>
      </c>
      <c r="C12" s="79" t="s">
        <v>79</v>
      </c>
      <c r="D12" s="79" t="s">
        <v>80</v>
      </c>
      <c r="E12" s="79" t="str">
        <f>IFERROR(VLOOKUP(ComprasMerc[[#This Row],[Mercadoria]],'Cálculos e Anotações'!$K$5:$N$34,4,0),"")</f>
        <v>Pacote</v>
      </c>
      <c r="F12" s="79">
        <v>300</v>
      </c>
      <c r="G12" s="82">
        <f>IFERROR(VLOOKUP(ComprasMerc[[#This Row],[Mercadoria]],'Cálculos e Anotações'!$K$5:$N$34,2,0),0)</f>
        <v>1.95</v>
      </c>
      <c r="H12" s="83">
        <v>0.02</v>
      </c>
      <c r="I12" s="82">
        <f>ComprasMerc[[#This Row],[Quantidade]]*ComprasMerc[[#This Row],[Preço Unitário]]*(1-ComprasMerc[[#This Row],[Desconto]])</f>
        <v>573.29999999999995</v>
      </c>
    </row>
    <row r="13" spans="2:9" ht="15.6" x14ac:dyDescent="0.3">
      <c r="B13" s="80">
        <v>45873</v>
      </c>
      <c r="C13" s="79" t="s">
        <v>81</v>
      </c>
      <c r="D13" s="79" t="s">
        <v>82</v>
      </c>
      <c r="E13" s="79" t="str">
        <f>IFERROR(VLOOKUP(ComprasMerc[[#This Row],[Mercadoria]],'Cálculos e Anotações'!$K$5:$N$34,4,0),"")</f>
        <v>Pacote</v>
      </c>
      <c r="F13" s="79">
        <v>500</v>
      </c>
      <c r="G13" s="82">
        <f>IFERROR(VLOOKUP(ComprasMerc[[#This Row],[Mercadoria]],'Cálculos e Anotações'!$K$5:$N$34,2,0),0)</f>
        <v>1.19</v>
      </c>
      <c r="H13" s="83"/>
      <c r="I13" s="82">
        <f>ComprasMerc[[#This Row],[Quantidade]]*ComprasMerc[[#This Row],[Preço Unitário]]*(1-ComprasMerc[[#This Row],[Desconto]])</f>
        <v>595</v>
      </c>
    </row>
    <row r="14" spans="2:9" ht="15.6" x14ac:dyDescent="0.3">
      <c r="B14" s="80">
        <v>45873</v>
      </c>
      <c r="C14" s="79" t="s">
        <v>83</v>
      </c>
      <c r="D14" s="79" t="s">
        <v>84</v>
      </c>
      <c r="E14" s="79" t="str">
        <f>IFERROR(VLOOKUP(ComprasMerc[[#This Row],[Mercadoria]],'Cálculos e Anotações'!$K$5:$N$34,4,0),"")</f>
        <v>Pacote</v>
      </c>
      <c r="F14" s="79">
        <v>400</v>
      </c>
      <c r="G14" s="82">
        <f>IFERROR(VLOOKUP(ComprasMerc[[#This Row],[Mercadoria]],'Cálculos e Anotações'!$K$5:$N$34,2,0),0)</f>
        <v>0.85</v>
      </c>
      <c r="H14" s="83"/>
      <c r="I14" s="82">
        <f>ComprasMerc[[#This Row],[Quantidade]]*ComprasMerc[[#This Row],[Preço Unitário]]*(1-ComprasMerc[[#This Row],[Desconto]])</f>
        <v>340</v>
      </c>
    </row>
    <row r="15" spans="2:9" ht="15.6" x14ac:dyDescent="0.3">
      <c r="B15" s="80">
        <v>45872</v>
      </c>
      <c r="C15" s="79" t="s">
        <v>71</v>
      </c>
      <c r="D15" s="79" t="s">
        <v>72</v>
      </c>
      <c r="E15" s="79" t="str">
        <f>IFERROR(VLOOKUP(ComprasMerc[[#This Row],[Mercadoria]],'Cálculos e Anotações'!$K$5:$N$34,4,0),"")</f>
        <v>Kg</v>
      </c>
      <c r="F15" s="79">
        <v>500</v>
      </c>
      <c r="G15" s="82">
        <f>IFERROR(VLOOKUP(ComprasMerc[[#This Row],[Mercadoria]],'Cálculos e Anotações'!$K$5:$N$34,2,0),0)</f>
        <v>26.9</v>
      </c>
      <c r="H15" s="83">
        <v>0.1</v>
      </c>
      <c r="I15" s="82">
        <f>ComprasMerc[[#This Row],[Quantidade]]*ComprasMerc[[#This Row],[Preço Unitário]]*(1-ComprasMerc[[#This Row],[Desconto]])</f>
        <v>12105</v>
      </c>
    </row>
    <row r="16" spans="2:9" ht="15.6" x14ac:dyDescent="0.3">
      <c r="B16" s="80">
        <v>45872</v>
      </c>
      <c r="C16" s="79" t="s">
        <v>68</v>
      </c>
      <c r="D16" s="79" t="s">
        <v>85</v>
      </c>
      <c r="E16" s="79" t="str">
        <f>IFERROR(VLOOKUP(ComprasMerc[[#This Row],[Mercadoria]],'Cálculos e Anotações'!$K$5:$N$34,4,0),"")</f>
        <v>Kg</v>
      </c>
      <c r="F16" s="79">
        <v>150</v>
      </c>
      <c r="G16" s="82">
        <f>IFERROR(VLOOKUP(ComprasMerc[[#This Row],[Mercadoria]],'Cálculos e Anotações'!$K$5:$N$34,2,0),0)</f>
        <v>3.9</v>
      </c>
      <c r="H16" s="83"/>
      <c r="I16" s="82">
        <f>ComprasMerc[[#This Row],[Quantidade]]*ComprasMerc[[#This Row],[Preço Unitário]]*(1-ComprasMerc[[#This Row],[Desconto]])</f>
        <v>585</v>
      </c>
    </row>
    <row r="17" spans="2:9" ht="15.6" x14ac:dyDescent="0.3">
      <c r="B17" s="80">
        <v>45872</v>
      </c>
      <c r="C17" s="79" t="s">
        <v>73</v>
      </c>
      <c r="D17" s="79" t="s">
        <v>74</v>
      </c>
      <c r="E17" s="79" t="str">
        <f>IFERROR(VLOOKUP(ComprasMerc[[#This Row],[Mercadoria]],'Cálculos e Anotações'!$K$5:$N$34,4,0),"")</f>
        <v>Lata</v>
      </c>
      <c r="F17" s="79">
        <v>700</v>
      </c>
      <c r="G17" s="82">
        <f>IFERROR(VLOOKUP(ComprasMerc[[#This Row],[Mercadoria]],'Cálculos e Anotações'!$K$5:$N$34,2,0),0)</f>
        <v>2.5</v>
      </c>
      <c r="H17" s="83"/>
      <c r="I17" s="82">
        <f>ComprasMerc[[#This Row],[Quantidade]]*ComprasMerc[[#This Row],[Preço Unitário]]*(1-ComprasMerc[[#This Row],[Desconto]])</f>
        <v>1750</v>
      </c>
    </row>
    <row r="18" spans="2:9" ht="15.6" x14ac:dyDescent="0.3">
      <c r="B18" s="80">
        <v>45872</v>
      </c>
      <c r="C18" s="79" t="s">
        <v>79</v>
      </c>
      <c r="D18" s="79" t="s">
        <v>86</v>
      </c>
      <c r="E18" s="79" t="str">
        <f>IFERROR(VLOOKUP(ComprasMerc[[#This Row],[Mercadoria]],'Cálculos e Anotações'!$K$5:$N$34,4,0),"")</f>
        <v>Barra</v>
      </c>
      <c r="F18" s="79">
        <v>250</v>
      </c>
      <c r="G18" s="82">
        <f>IFERROR(VLOOKUP(ComprasMerc[[#This Row],[Mercadoria]],'Cálculos e Anotações'!$K$5:$N$34,2,0),0)</f>
        <v>4.9000000000000004</v>
      </c>
      <c r="H18" s="83"/>
      <c r="I18" s="82">
        <f>ComprasMerc[[#This Row],[Quantidade]]*ComprasMerc[[#This Row],[Preço Unitário]]*(1-ComprasMerc[[#This Row],[Desconto]])</f>
        <v>1225</v>
      </c>
    </row>
    <row r="19" spans="2:9" ht="15.6" x14ac:dyDescent="0.3">
      <c r="B19" s="80">
        <v>45872</v>
      </c>
      <c r="C19" s="79" t="s">
        <v>87</v>
      </c>
      <c r="D19" s="79" t="s">
        <v>88</v>
      </c>
      <c r="E19" s="79" t="str">
        <f>IFERROR(VLOOKUP(ComprasMerc[[#This Row],[Mercadoria]],'Cálculos e Anotações'!$K$5:$N$34,4,0),"")</f>
        <v>Maço</v>
      </c>
      <c r="F19" s="79">
        <v>800</v>
      </c>
      <c r="G19" s="82">
        <f>IFERROR(VLOOKUP(ComprasMerc[[#This Row],[Mercadoria]],'Cálculos e Anotações'!$K$5:$N$34,2,0),0)</f>
        <v>6.5</v>
      </c>
      <c r="H19" s="83"/>
      <c r="I19" s="82">
        <f>ComprasMerc[[#This Row],[Quantidade]]*ComprasMerc[[#This Row],[Preço Unitário]]*(1-ComprasMerc[[#This Row],[Desconto]])</f>
        <v>5200</v>
      </c>
    </row>
    <row r="20" spans="2:9" ht="15.6" x14ac:dyDescent="0.3">
      <c r="B20" s="80">
        <v>45872</v>
      </c>
      <c r="C20" s="79" t="s">
        <v>68</v>
      </c>
      <c r="D20" s="79" t="s">
        <v>89</v>
      </c>
      <c r="E20" s="79" t="str">
        <f>IFERROR(VLOOKUP(ComprasMerc[[#This Row],[Mercadoria]],'Cálculos e Anotações'!$K$5:$N$34,4,0),"")</f>
        <v>Unidade</v>
      </c>
      <c r="F20" s="79">
        <v>300</v>
      </c>
      <c r="G20" s="82">
        <f>IFERROR(VLOOKUP(ComprasMerc[[#This Row],[Mercadoria]],'Cálculos e Anotações'!$K$5:$N$34,2,0),0)</f>
        <v>2.5</v>
      </c>
      <c r="H20" s="83"/>
      <c r="I20" s="82">
        <f>ComprasMerc[[#This Row],[Quantidade]]*ComprasMerc[[#This Row],[Preço Unitário]]*(1-ComprasMerc[[#This Row],[Desconto]])</f>
        <v>750</v>
      </c>
    </row>
    <row r="21" spans="2:9" ht="15.6" x14ac:dyDescent="0.3">
      <c r="B21" s="80">
        <v>45872</v>
      </c>
      <c r="C21" s="79" t="s">
        <v>76</v>
      </c>
      <c r="D21" s="79" t="s">
        <v>90</v>
      </c>
      <c r="E21" s="79" t="str">
        <f>IFERROR(VLOOKUP(ComprasMerc[[#This Row],[Mercadoria]],'Cálculos e Anotações'!$K$5:$N$34,4,0),"")</f>
        <v>Kg</v>
      </c>
      <c r="F21" s="79">
        <v>600</v>
      </c>
      <c r="G21" s="82">
        <f>IFERROR(VLOOKUP(ComprasMerc[[#This Row],[Mercadoria]],'Cálculos e Anotações'!$K$5:$N$34,2,0),0)</f>
        <v>6.2</v>
      </c>
      <c r="H21" s="83"/>
      <c r="I21" s="82">
        <f>ComprasMerc[[#This Row],[Quantidade]]*ComprasMerc[[#This Row],[Preço Unitário]]*(1-ComprasMerc[[#This Row],[Desconto]])</f>
        <v>3720</v>
      </c>
    </row>
    <row r="22" spans="2:9" ht="15.6" x14ac:dyDescent="0.3">
      <c r="B22" s="80">
        <v>45872</v>
      </c>
      <c r="C22" s="79" t="s">
        <v>91</v>
      </c>
      <c r="D22" s="79" t="s">
        <v>92</v>
      </c>
      <c r="E22" s="79" t="str">
        <f>IFERROR(VLOOKUP(ComprasMerc[[#This Row],[Mercadoria]],'Cálculos e Anotações'!$K$5:$N$34,4,0),"")</f>
        <v>Kg</v>
      </c>
      <c r="F22" s="79">
        <v>550</v>
      </c>
      <c r="G22" s="82">
        <f>IFERROR(VLOOKUP(ComprasMerc[[#This Row],[Mercadoria]],'Cálculos e Anotações'!$K$5:$N$34,2,0),0)</f>
        <v>8.8000000000000007</v>
      </c>
      <c r="H22" s="83">
        <v>0.2</v>
      </c>
      <c r="I22" s="82">
        <f>ComprasMerc[[#This Row],[Quantidade]]*ComprasMerc[[#This Row],[Preço Unitário]]*(1-ComprasMerc[[#This Row],[Desconto]])</f>
        <v>3872</v>
      </c>
    </row>
    <row r="23" spans="2:9" ht="15.6" x14ac:dyDescent="0.3">
      <c r="B23" s="80">
        <v>45871</v>
      </c>
      <c r="C23" s="79" t="s">
        <v>93</v>
      </c>
      <c r="D23" s="79" t="s">
        <v>94</v>
      </c>
      <c r="E23" s="79" t="str">
        <f>IFERROR(VLOOKUP(ComprasMerc[[#This Row],[Mercadoria]],'Cálculos e Anotações'!$K$5:$N$34,4,0),"")</f>
        <v>Litro</v>
      </c>
      <c r="F23" s="79">
        <v>800</v>
      </c>
      <c r="G23" s="82">
        <f>IFERROR(VLOOKUP(ComprasMerc[[#This Row],[Mercadoria]],'Cálculos e Anotações'!$K$5:$N$34,2,0),0)</f>
        <v>3.99</v>
      </c>
      <c r="H23" s="83"/>
      <c r="I23" s="82">
        <f>ComprasMerc[[#This Row],[Quantidade]]*ComprasMerc[[#This Row],[Preço Unitário]]*(1-ComprasMerc[[#This Row],[Desconto]])</f>
        <v>3192</v>
      </c>
    </row>
    <row r="24" spans="2:9" ht="15.6" x14ac:dyDescent="0.3">
      <c r="B24" s="80">
        <v>45871</v>
      </c>
      <c r="C24" s="79" t="s">
        <v>95</v>
      </c>
      <c r="D24" s="79" t="s">
        <v>96</v>
      </c>
      <c r="E24" s="79" t="str">
        <f>IFERROR(VLOOKUP(ComprasMerc[[#This Row],[Mercadoria]],'Cálculos e Anotações'!$K$5:$N$34,4,0),"")</f>
        <v>Unidade</v>
      </c>
      <c r="F24" s="79">
        <v>400</v>
      </c>
      <c r="G24" s="82">
        <f>IFERROR(VLOOKUP(ComprasMerc[[#This Row],[Mercadoria]],'Cálculos e Anotações'!$K$5:$N$34,2,0),0)</f>
        <v>2.8</v>
      </c>
      <c r="H24" s="83"/>
      <c r="I24" s="82">
        <f>ComprasMerc[[#This Row],[Quantidade]]*ComprasMerc[[#This Row],[Preço Unitário]]*(1-ComprasMerc[[#This Row],[Desconto]])</f>
        <v>1120</v>
      </c>
    </row>
    <row r="25" spans="2:9" ht="15.6" x14ac:dyDescent="0.3">
      <c r="B25" s="80">
        <v>45871</v>
      </c>
      <c r="C25" s="79" t="s">
        <v>97</v>
      </c>
      <c r="D25" s="79" t="s">
        <v>98</v>
      </c>
      <c r="E25" s="79" t="str">
        <f>IFERROR(VLOOKUP(ComprasMerc[[#This Row],[Mercadoria]],'Cálculos e Anotações'!$K$5:$N$34,4,0),"")</f>
        <v>Kg</v>
      </c>
      <c r="F25" s="79">
        <v>200</v>
      </c>
      <c r="G25" s="82">
        <f>IFERROR(VLOOKUP(ComprasMerc[[#This Row],[Mercadoria]],'Cálculos e Anotações'!$K$5:$N$34,2,0),0)</f>
        <v>26.5</v>
      </c>
      <c r="H25" s="83">
        <v>0.14000000000000001</v>
      </c>
      <c r="I25" s="82">
        <f>ComprasMerc[[#This Row],[Quantidade]]*ComprasMerc[[#This Row],[Preço Unitário]]*(1-ComprasMerc[[#This Row],[Desconto]])</f>
        <v>4558</v>
      </c>
    </row>
    <row r="26" spans="2:9" ht="15.6" x14ac:dyDescent="0.3">
      <c r="B26" s="80">
        <v>45871</v>
      </c>
      <c r="C26" s="79" t="s">
        <v>99</v>
      </c>
      <c r="D26" s="79" t="s">
        <v>100</v>
      </c>
      <c r="E26" s="79" t="str">
        <f>IFERROR(VLOOKUP(ComprasMerc[[#This Row],[Mercadoria]],'Cálculos e Anotações'!$K$5:$N$34,4,0),"")</f>
        <v>Kg</v>
      </c>
      <c r="F26" s="79">
        <v>600</v>
      </c>
      <c r="G26" s="82">
        <f>IFERROR(VLOOKUP(ComprasMerc[[#This Row],[Mercadoria]],'Cálculos e Anotações'!$K$5:$N$34,2,0),0)</f>
        <v>28</v>
      </c>
      <c r="H26" s="83"/>
      <c r="I26" s="82">
        <f>ComprasMerc[[#This Row],[Quantidade]]*ComprasMerc[[#This Row],[Preço Unitário]]*(1-ComprasMerc[[#This Row],[Desconto]])</f>
        <v>16800</v>
      </c>
    </row>
    <row r="27" spans="2:9" ht="15.6" x14ac:dyDescent="0.3">
      <c r="B27" s="80">
        <v>45871</v>
      </c>
      <c r="C27" s="79" t="s">
        <v>73</v>
      </c>
      <c r="D27" s="79" t="s">
        <v>101</v>
      </c>
      <c r="E27" s="79" t="str">
        <f>IFERROR(VLOOKUP(ComprasMerc[[#This Row],[Mercadoria]],'Cálculos e Anotações'!$K$5:$N$34,4,0),"")</f>
        <v>Litro</v>
      </c>
      <c r="F27" s="79">
        <v>1000</v>
      </c>
      <c r="G27" s="82">
        <f>IFERROR(VLOOKUP(ComprasMerc[[#This Row],[Mercadoria]],'Cálculos e Anotações'!$K$5:$N$34,2,0),0)</f>
        <v>2.4</v>
      </c>
      <c r="H27" s="83">
        <v>7.0000000000000007E-2</v>
      </c>
      <c r="I27" s="82">
        <f>ComprasMerc[[#This Row],[Quantidade]]*ComprasMerc[[#This Row],[Preço Unitário]]*(1-ComprasMerc[[#This Row],[Desconto]])</f>
        <v>2232</v>
      </c>
    </row>
    <row r="28" spans="2:9" ht="15.6" x14ac:dyDescent="0.3">
      <c r="B28" s="80">
        <v>45871</v>
      </c>
      <c r="C28" s="79" t="s">
        <v>73</v>
      </c>
      <c r="D28" s="79" t="s">
        <v>102</v>
      </c>
      <c r="E28" s="79" t="str">
        <f>IFERROR(VLOOKUP(ComprasMerc[[#This Row],[Mercadoria]],'Cálculos e Anotações'!$K$5:$N$34,4,0),"")</f>
        <v>Litro</v>
      </c>
      <c r="F28" s="79">
        <v>800</v>
      </c>
      <c r="G28" s="82">
        <f>IFERROR(VLOOKUP(ComprasMerc[[#This Row],[Mercadoria]],'Cálculos e Anotações'!$K$5:$N$34,2,0),0)</f>
        <v>3.4</v>
      </c>
      <c r="H28" s="83"/>
      <c r="I28" s="82">
        <f>ComprasMerc[[#This Row],[Quantidade]]*ComprasMerc[[#This Row],[Preço Unitário]]*(1-ComprasMerc[[#This Row],[Desconto]])</f>
        <v>2720</v>
      </c>
    </row>
    <row r="29" spans="2:9" ht="15.6" x14ac:dyDescent="0.3">
      <c r="B29" s="80">
        <v>45871</v>
      </c>
      <c r="C29" s="79" t="s">
        <v>73</v>
      </c>
      <c r="D29" s="79" t="s">
        <v>103</v>
      </c>
      <c r="E29" s="79" t="str">
        <f>IFERROR(VLOOKUP(ComprasMerc[[#This Row],[Mercadoria]],'Cálculos e Anotações'!$K$5:$N$34,4,0),"")</f>
        <v>Garrafa</v>
      </c>
      <c r="F29" s="79">
        <v>40</v>
      </c>
      <c r="G29" s="82">
        <f>IFERROR(VLOOKUP(ComprasMerc[[#This Row],[Mercadoria]],'Cálculos e Anotações'!$K$5:$N$34,2,0),0)</f>
        <v>28</v>
      </c>
      <c r="H29" s="83"/>
      <c r="I29" s="82">
        <f>ComprasMerc[[#This Row],[Quantidade]]*ComprasMerc[[#This Row],[Preço Unitário]]*(1-ComprasMerc[[#This Row],[Desconto]])</f>
        <v>1120</v>
      </c>
    </row>
    <row r="30" spans="2:9" ht="15.6" x14ac:dyDescent="0.3">
      <c r="B30" s="80">
        <v>45871</v>
      </c>
      <c r="C30" s="79" t="s">
        <v>73</v>
      </c>
      <c r="D30" s="79" t="s">
        <v>104</v>
      </c>
      <c r="E30" s="79" t="str">
        <f>IFERROR(VLOOKUP(ComprasMerc[[#This Row],[Mercadoria]],'Cálculos e Anotações'!$K$5:$N$34,4,0),"")</f>
        <v>Garrafa</v>
      </c>
      <c r="F30" s="79">
        <v>110</v>
      </c>
      <c r="G30" s="82">
        <f>IFERROR(VLOOKUP(ComprasMerc[[#This Row],[Mercadoria]],'Cálculos e Anotações'!$K$5:$N$34,2,0),0)</f>
        <v>48</v>
      </c>
      <c r="H30" s="83"/>
      <c r="I30" s="82">
        <f>ComprasMerc[[#This Row],[Quantidade]]*ComprasMerc[[#This Row],[Preço Unitário]]*(1-ComprasMerc[[#This Row],[Desconto]])</f>
        <v>5280</v>
      </c>
    </row>
    <row r="32" spans="2:9" ht="15" thickBot="1" x14ac:dyDescent="0.35"/>
    <row r="33" spans="2:9" ht="24" thickBot="1" x14ac:dyDescent="0.5">
      <c r="B33" s="8" t="s">
        <v>58</v>
      </c>
      <c r="C33" s="8"/>
      <c r="D33" s="8"/>
      <c r="E33" s="8"/>
      <c r="F33" s="8"/>
      <c r="G33" s="8"/>
      <c r="H33" s="8"/>
      <c r="I33" s="9">
        <f>SUM(ComprasMerc[Valor Pago])</f>
        <v>86766.3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7AAC98-1315-40CD-BD0A-9D11949AAC94}">
          <x14:formula1>
            <xm:f>'Cálculos e Anotações'!$K$5:$K$34</xm:f>
          </x14:formula1>
          <xm:sqref>D5:D30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F10"/>
  <sheetViews>
    <sheetView showGridLines="0" workbookViewId="0"/>
  </sheetViews>
  <sheetFormatPr defaultRowHeight="14.4" x14ac:dyDescent="0.3"/>
  <cols>
    <col min="2" max="2" width="58.6640625" bestFit="1" customWidth="1"/>
    <col min="3" max="3" width="24" customWidth="1"/>
    <col min="4" max="4" width="68" customWidth="1"/>
    <col min="5" max="5" width="27.6640625" customWidth="1"/>
  </cols>
  <sheetData>
    <row r="2" spans="2:6" s="1" customFormat="1" ht="28.2" customHeight="1" x14ac:dyDescent="0.4">
      <c r="B2" s="3" t="s">
        <v>105</v>
      </c>
      <c r="C2" s="2"/>
      <c r="D2" s="2"/>
      <c r="E2" s="2"/>
      <c r="F2" s="2"/>
    </row>
    <row r="3" spans="2:6" ht="32.4" customHeight="1" x14ac:dyDescent="0.3"/>
    <row r="4" spans="2:6" ht="15.6" x14ac:dyDescent="0.3">
      <c r="B4" s="79" t="s">
        <v>106</v>
      </c>
      <c r="C4" s="79" t="s">
        <v>23</v>
      </c>
      <c r="D4" s="79" t="s">
        <v>107</v>
      </c>
      <c r="E4" s="79" t="s">
        <v>108</v>
      </c>
    </row>
    <row r="5" spans="2:6" ht="35.4" customHeight="1" x14ac:dyDescent="0.3">
      <c r="B5" s="79" t="s">
        <v>52</v>
      </c>
      <c r="C5" s="80">
        <v>45870</v>
      </c>
      <c r="D5" s="81" t="s">
        <v>109</v>
      </c>
      <c r="E5" s="82">
        <v>2000</v>
      </c>
    </row>
    <row r="6" spans="2:6" ht="35.4" customHeight="1" x14ac:dyDescent="0.3">
      <c r="B6" s="79" t="s">
        <v>110</v>
      </c>
      <c r="C6" s="80">
        <v>45871</v>
      </c>
      <c r="D6" s="81" t="s">
        <v>111</v>
      </c>
      <c r="E6" s="82">
        <v>4000</v>
      </c>
    </row>
    <row r="7" spans="2:6" ht="35.4" customHeight="1" x14ac:dyDescent="0.3">
      <c r="B7" s="79" t="s">
        <v>112</v>
      </c>
      <c r="C7" s="80">
        <v>45870</v>
      </c>
      <c r="D7" s="81" t="s">
        <v>113</v>
      </c>
      <c r="E7" s="82">
        <v>5000</v>
      </c>
    </row>
    <row r="8" spans="2:6" ht="35.4" customHeight="1" x14ac:dyDescent="0.3">
      <c r="B8" s="79" t="s">
        <v>34</v>
      </c>
      <c r="C8" s="80">
        <v>45872</v>
      </c>
      <c r="D8" s="81" t="s">
        <v>114</v>
      </c>
      <c r="E8" s="82">
        <v>1000</v>
      </c>
    </row>
    <row r="9" spans="2:6" ht="35.4" customHeight="1" thickBot="1" x14ac:dyDescent="0.35"/>
    <row r="10" spans="2:6" ht="24" thickBot="1" x14ac:dyDescent="0.5">
      <c r="B10" s="8" t="s">
        <v>115</v>
      </c>
      <c r="C10" s="8"/>
      <c r="D10" s="8"/>
      <c r="E10" s="28">
        <f>SUM(Investimentos[Valor])</f>
        <v>12000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I28"/>
  <sheetViews>
    <sheetView showGridLines="0" zoomScaleNormal="100" workbookViewId="0">
      <selection activeCell="H3" sqref="H3"/>
    </sheetView>
  </sheetViews>
  <sheetFormatPr defaultRowHeight="14.4" x14ac:dyDescent="0.3"/>
  <cols>
    <col min="2" max="2" width="19.33203125" customWidth="1"/>
    <col min="3" max="3" width="22.33203125" customWidth="1"/>
    <col min="4" max="4" width="27.44140625" customWidth="1"/>
    <col min="5" max="5" width="21.88671875" customWidth="1"/>
    <col min="6" max="6" width="25.6640625" customWidth="1"/>
    <col min="7" max="7" width="24.6640625" customWidth="1"/>
    <col min="8" max="8" width="23.6640625" customWidth="1"/>
    <col min="9" max="9" width="22.6640625" customWidth="1"/>
  </cols>
  <sheetData>
    <row r="2" spans="2:9" s="13" customFormat="1" ht="28.2" customHeight="1" x14ac:dyDescent="0.4">
      <c r="B2" s="11" t="s">
        <v>116</v>
      </c>
      <c r="C2" s="12"/>
      <c r="D2" s="12"/>
      <c r="E2" s="12"/>
      <c r="F2" s="12"/>
    </row>
    <row r="3" spans="2:9" ht="32.4" customHeight="1" x14ac:dyDescent="0.3"/>
    <row r="4" spans="2:9" ht="15.6" x14ac:dyDescent="0.3">
      <c r="C4" s="79" t="s">
        <v>117</v>
      </c>
      <c r="D4" s="79" t="s">
        <v>118</v>
      </c>
      <c r="E4" s="79" t="s">
        <v>119</v>
      </c>
      <c r="F4" s="79" t="s">
        <v>120</v>
      </c>
      <c r="G4" s="79" t="s">
        <v>121</v>
      </c>
      <c r="H4" s="79" t="s">
        <v>122</v>
      </c>
      <c r="I4" s="79" t="s">
        <v>123</v>
      </c>
    </row>
    <row r="5" spans="2:9" ht="15.6" x14ac:dyDescent="0.3">
      <c r="C5" s="79" t="s">
        <v>75</v>
      </c>
      <c r="D5" s="80">
        <f>IFERROR(INDEX(ComprasMerc[],MATCH(Estoque[[#This Row],[Produto]],ComprasMerc[Mercadoria],0),1),"")</f>
        <v>45874</v>
      </c>
      <c r="E5" s="79">
        <v>600</v>
      </c>
      <c r="F5" s="79">
        <f>SUMIF(ComprasMerc[Mercadoria],Estoque[[#This Row],[Produto]],ComprasMerc[Quantidade])</f>
        <v>300</v>
      </c>
      <c r="G5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875</v>
      </c>
      <c r="H5" s="79">
        <f>Estoque[[#This Row],[Quantidade Inicial]]+Estoque[[#This Row],[Quantidade Comprada]]-Estoque[[#This Row],[Quantidade Vendida]]</f>
        <v>25</v>
      </c>
      <c r="I5" s="79" t="str">
        <f>IF(Estoque[[#This Row],[Quantidade Atual]]&lt;100,IF(Estoque[[#This Row],[Quantidade Atual]]&lt;40,IF(Estoque[[#This Row],[Quantidade Atual]]&lt;=0,"Esgotado","Comprar"),"Atenção"),"OK")</f>
        <v>Comprar</v>
      </c>
    </row>
    <row r="6" spans="2:9" ht="15.6" x14ac:dyDescent="0.3">
      <c r="C6" s="79" t="s">
        <v>77</v>
      </c>
      <c r="D6" s="80">
        <f>IFERROR(INDEX(ComprasMerc[],MATCH(Estoque[[#This Row],[Produto]],ComprasMerc[Mercadoria],0),1),"")</f>
        <v>45874</v>
      </c>
      <c r="E6" s="79">
        <v>10</v>
      </c>
      <c r="F6" s="79">
        <f>SUMIF(ComprasMerc[Mercadoria],Estoque[[#This Row],[Produto]],ComprasMerc[Quantidade])</f>
        <v>250</v>
      </c>
      <c r="G6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210</v>
      </c>
      <c r="H6" s="79">
        <f>Estoque[[#This Row],[Quantidade Inicial]]+Estoque[[#This Row],[Quantidade Comprada]]-Estoque[[#This Row],[Quantidade Vendida]]</f>
        <v>50</v>
      </c>
      <c r="I6" s="79" t="str">
        <f>IF(Estoque[[#This Row],[Quantidade Atual]]&lt;100,IF(Estoque[[#This Row],[Quantidade Atual]]&lt;40,IF(Estoque[[#This Row],[Quantidade Atual]]&lt;=0,"Esgotado","Comprar"),"Atenção"),"OK")</f>
        <v>Atenção</v>
      </c>
    </row>
    <row r="7" spans="2:9" ht="15.6" x14ac:dyDescent="0.3">
      <c r="C7" s="79" t="s">
        <v>78</v>
      </c>
      <c r="D7" s="80">
        <f>IFERROR(INDEX(ComprasMerc[],MATCH(Estoque[[#This Row],[Produto]],ComprasMerc[Mercadoria],0),1),"")</f>
        <v>45873</v>
      </c>
      <c r="E7" s="79">
        <v>1000</v>
      </c>
      <c r="F7" s="79">
        <f>SUMIF(ComprasMerc[Mercadoria],Estoque[[#This Row],[Produto]],ComprasMerc[Quantidade])</f>
        <v>800</v>
      </c>
      <c r="G7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1633</v>
      </c>
      <c r="H7" s="79">
        <f>Estoque[[#This Row],[Quantidade Inicial]]+Estoque[[#This Row],[Quantidade Comprada]]-Estoque[[#This Row],[Quantidade Vendida]]</f>
        <v>167</v>
      </c>
      <c r="I7" s="79" t="str">
        <f>IF(Estoque[[#This Row],[Quantidade Atual]]&lt;100,IF(Estoque[[#This Row],[Quantidade Atual]]&lt;40,IF(Estoque[[#This Row],[Quantidade Atual]]&lt;=0,"Esgotado","Comprar"),"Atenção"),"OK")</f>
        <v>OK</v>
      </c>
    </row>
    <row r="8" spans="2:9" ht="15.6" x14ac:dyDescent="0.3">
      <c r="C8" s="79" t="s">
        <v>80</v>
      </c>
      <c r="D8" s="80">
        <f>IFERROR(INDEX(ComprasMerc[],MATCH(Estoque[[#This Row],[Produto]],ComprasMerc[Mercadoria],0),1),"")</f>
        <v>45873</v>
      </c>
      <c r="E8" s="79">
        <v>700</v>
      </c>
      <c r="F8" s="79">
        <f>SUMIF(ComprasMerc[Mercadoria],Estoque[[#This Row],[Produto]],ComprasMerc[Quantidade])</f>
        <v>300</v>
      </c>
      <c r="G8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850</v>
      </c>
      <c r="H8" s="79">
        <f>Estoque[[#This Row],[Quantidade Inicial]]+Estoque[[#This Row],[Quantidade Comprada]]-Estoque[[#This Row],[Quantidade Vendida]]</f>
        <v>150</v>
      </c>
      <c r="I8" s="79" t="str">
        <f>IF(Estoque[[#This Row],[Quantidade Atual]]&lt;100,IF(Estoque[[#This Row],[Quantidade Atual]]&lt;40,IF(Estoque[[#This Row],[Quantidade Atual]]&lt;=0,"Esgotado","Comprar"),"Atenção"),"OK")</f>
        <v>OK</v>
      </c>
    </row>
    <row r="9" spans="2:9" ht="15.6" x14ac:dyDescent="0.3">
      <c r="C9" s="79" t="s">
        <v>82</v>
      </c>
      <c r="D9" s="80">
        <f>IFERROR(INDEX(ComprasMerc[],MATCH(Estoque[[#This Row],[Produto]],ComprasMerc[Mercadoria],0),1),"")</f>
        <v>45873</v>
      </c>
      <c r="E9" s="79">
        <v>850</v>
      </c>
      <c r="F9" s="79">
        <f>SUMIF(ComprasMerc[Mercadoria],Estoque[[#This Row],[Produto]],ComprasMerc[Quantidade])</f>
        <v>500</v>
      </c>
      <c r="G9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1170</v>
      </c>
      <c r="H9" s="79">
        <f>Estoque[[#This Row],[Quantidade Inicial]]+Estoque[[#This Row],[Quantidade Comprada]]-Estoque[[#This Row],[Quantidade Vendida]]</f>
        <v>180</v>
      </c>
      <c r="I9" s="79" t="str">
        <f>IF(Estoque[[#This Row],[Quantidade Atual]]&lt;100,IF(Estoque[[#This Row],[Quantidade Atual]]&lt;40,IF(Estoque[[#This Row],[Quantidade Atual]]&lt;=0,"Esgotado","Comprar"),"Atenção"),"OK")</f>
        <v>OK</v>
      </c>
    </row>
    <row r="10" spans="2:9" ht="15.6" x14ac:dyDescent="0.3">
      <c r="C10" s="79" t="s">
        <v>84</v>
      </c>
      <c r="D10" s="80">
        <f>IFERROR(INDEX(ComprasMerc[],MATCH(Estoque[[#This Row],[Produto]],ComprasMerc[Mercadoria],0),1),"")</f>
        <v>45873</v>
      </c>
      <c r="E10" s="79">
        <v>70</v>
      </c>
      <c r="F10" s="79">
        <f>SUMIF(ComprasMerc[Mercadoria],Estoque[[#This Row],[Produto]],ComprasMerc[Quantidade])</f>
        <v>400</v>
      </c>
      <c r="G10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470</v>
      </c>
      <c r="H10" s="79">
        <f>Estoque[[#This Row],[Quantidade Inicial]]+Estoque[[#This Row],[Quantidade Comprada]]-Estoque[[#This Row],[Quantidade Vendida]]</f>
        <v>0</v>
      </c>
      <c r="I10" s="79" t="str">
        <f>IF(Estoque[[#This Row],[Quantidade Atual]]&lt;100,IF(Estoque[[#This Row],[Quantidade Atual]]&lt;40,IF(Estoque[[#This Row],[Quantidade Atual]]&lt;=0,"Esgotado","Comprar"),"Atenção"),"OK")</f>
        <v>Esgotado</v>
      </c>
    </row>
    <row r="11" spans="2:9" ht="15.6" x14ac:dyDescent="0.3">
      <c r="C11" s="79" t="s">
        <v>72</v>
      </c>
      <c r="D11" s="80">
        <f>IFERROR(INDEX(ComprasMerc[],MATCH(Estoque[[#This Row],[Produto]],ComprasMerc[Mercadoria],0),1),"")</f>
        <v>45877</v>
      </c>
      <c r="E11" s="79">
        <v>1200</v>
      </c>
      <c r="F11" s="79">
        <f>SUMIF(ComprasMerc[Mercadoria],Estoque[[#This Row],[Produto]],ComprasMerc[Quantidade])</f>
        <v>750</v>
      </c>
      <c r="G11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1857</v>
      </c>
      <c r="H11" s="79">
        <f>Estoque[[#This Row],[Quantidade Inicial]]+Estoque[[#This Row],[Quantidade Comprada]]-Estoque[[#This Row],[Quantidade Vendida]]</f>
        <v>93</v>
      </c>
      <c r="I11" s="79" t="str">
        <f>IF(Estoque[[#This Row],[Quantidade Atual]]&lt;100,IF(Estoque[[#This Row],[Quantidade Atual]]&lt;40,IF(Estoque[[#This Row],[Quantidade Atual]]&lt;=0,"Esgotado","Comprar"),"Atenção"),"OK")</f>
        <v>Atenção</v>
      </c>
    </row>
    <row r="12" spans="2:9" ht="15.6" x14ac:dyDescent="0.3">
      <c r="C12" s="79" t="s">
        <v>85</v>
      </c>
      <c r="D12" s="80">
        <f>IFERROR(INDEX(ComprasMerc[],MATCH(Estoque[[#This Row],[Produto]],ComprasMerc[Mercadoria],0),1),"")</f>
        <v>45872</v>
      </c>
      <c r="E12" s="79">
        <v>200</v>
      </c>
      <c r="F12" s="79">
        <f>SUMIF(ComprasMerc[Mercadoria],Estoque[[#This Row],[Produto]],ComprasMerc[Quantidade])</f>
        <v>150</v>
      </c>
      <c r="G12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10</v>
      </c>
      <c r="H12" s="79">
        <f>Estoque[[#This Row],[Quantidade Inicial]]+Estoque[[#This Row],[Quantidade Comprada]]-Estoque[[#This Row],[Quantidade Vendida]]</f>
        <v>340</v>
      </c>
      <c r="I12" s="79" t="str">
        <f>IF(Estoque[[#This Row],[Quantidade Atual]]&lt;100,IF(Estoque[[#This Row],[Quantidade Atual]]&lt;40,IF(Estoque[[#This Row],[Quantidade Atual]]&lt;=0,"Esgotado","Comprar"),"Atenção"),"OK")</f>
        <v>OK</v>
      </c>
    </row>
    <row r="13" spans="2:9" ht="15.6" x14ac:dyDescent="0.3">
      <c r="C13" s="79" t="s">
        <v>74</v>
      </c>
      <c r="D13" s="80">
        <f>IFERROR(INDEX(ComprasMerc[],MATCH(Estoque[[#This Row],[Produto]],ComprasMerc[Mercadoria],0),1),"")</f>
        <v>45875</v>
      </c>
      <c r="E13" s="79">
        <v>300</v>
      </c>
      <c r="F13" s="79">
        <f>SUMIF(ComprasMerc[Mercadoria],Estoque[[#This Row],[Produto]],ComprasMerc[Quantidade])</f>
        <v>2500</v>
      </c>
      <c r="G13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2729</v>
      </c>
      <c r="H13" s="79">
        <f>Estoque[[#This Row],[Quantidade Inicial]]+Estoque[[#This Row],[Quantidade Comprada]]-Estoque[[#This Row],[Quantidade Vendida]]</f>
        <v>71</v>
      </c>
      <c r="I13" s="79" t="str">
        <f>IF(Estoque[[#This Row],[Quantidade Atual]]&lt;100,IF(Estoque[[#This Row],[Quantidade Atual]]&lt;40,IF(Estoque[[#This Row],[Quantidade Atual]]&lt;=0,"Esgotado","Comprar"),"Atenção"),"OK")</f>
        <v>Atenção</v>
      </c>
    </row>
    <row r="14" spans="2:9" ht="15.6" x14ac:dyDescent="0.3">
      <c r="C14" s="79" t="s">
        <v>86</v>
      </c>
      <c r="D14" s="80">
        <f>IFERROR(INDEX(ComprasMerc[],MATCH(Estoque[[#This Row],[Produto]],ComprasMerc[Mercadoria],0),1),"")</f>
        <v>45872</v>
      </c>
      <c r="E14" s="79">
        <v>720</v>
      </c>
      <c r="F14" s="79">
        <f>SUMIF(ComprasMerc[Mercadoria],Estoque[[#This Row],[Produto]],ComprasMerc[Quantidade])</f>
        <v>250</v>
      </c>
      <c r="G14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605</v>
      </c>
      <c r="H14" s="79">
        <f>Estoque[[#This Row],[Quantidade Inicial]]+Estoque[[#This Row],[Quantidade Comprada]]-Estoque[[#This Row],[Quantidade Vendida]]</f>
        <v>365</v>
      </c>
      <c r="I14" s="79" t="str">
        <f>IF(Estoque[[#This Row],[Quantidade Atual]]&lt;100,IF(Estoque[[#This Row],[Quantidade Atual]]&lt;40,IF(Estoque[[#This Row],[Quantidade Atual]]&lt;=0,"Esgotado","Comprar"),"Atenção"),"OK")</f>
        <v>OK</v>
      </c>
    </row>
    <row r="15" spans="2:9" ht="15.6" x14ac:dyDescent="0.3">
      <c r="C15" s="79" t="s">
        <v>88</v>
      </c>
      <c r="D15" s="80">
        <f>IFERROR(INDEX(ComprasMerc[],MATCH(Estoque[[#This Row],[Produto]],ComprasMerc[Mercadoria],0),1),"")</f>
        <v>45872</v>
      </c>
      <c r="E15" s="79">
        <v>850</v>
      </c>
      <c r="F15" s="79">
        <f>SUMIF(ComprasMerc[Mercadoria],Estoque[[#This Row],[Produto]],ComprasMerc[Quantidade])</f>
        <v>800</v>
      </c>
      <c r="G15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1280</v>
      </c>
      <c r="H15" s="79">
        <f>Estoque[[#This Row],[Quantidade Inicial]]+Estoque[[#This Row],[Quantidade Comprada]]-Estoque[[#This Row],[Quantidade Vendida]]</f>
        <v>370</v>
      </c>
      <c r="I15" s="79" t="str">
        <f>IF(Estoque[[#This Row],[Quantidade Atual]]&lt;100,IF(Estoque[[#This Row],[Quantidade Atual]]&lt;40,IF(Estoque[[#This Row],[Quantidade Atual]]&lt;=0,"Esgotado","Comprar"),"Atenção"),"OK")</f>
        <v>OK</v>
      </c>
    </row>
    <row r="16" spans="2:9" ht="15.6" x14ac:dyDescent="0.3">
      <c r="C16" s="79" t="s">
        <v>89</v>
      </c>
      <c r="D16" s="80">
        <f>IFERROR(INDEX(ComprasMerc[],MATCH(Estoque[[#This Row],[Produto]],ComprasMerc[Mercadoria],0),1),"")</f>
        <v>45872</v>
      </c>
      <c r="E16" s="79">
        <v>850</v>
      </c>
      <c r="F16" s="79">
        <f>SUMIF(ComprasMerc[Mercadoria],Estoque[[#This Row],[Produto]],ComprasMerc[Quantidade])</f>
        <v>300</v>
      </c>
      <c r="G16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876</v>
      </c>
      <c r="H16" s="79">
        <f>Estoque[[#This Row],[Quantidade Inicial]]+Estoque[[#This Row],[Quantidade Comprada]]-Estoque[[#This Row],[Quantidade Vendida]]</f>
        <v>274</v>
      </c>
      <c r="I16" s="79" t="str">
        <f>IF(Estoque[[#This Row],[Quantidade Atual]]&lt;100,IF(Estoque[[#This Row],[Quantidade Atual]]&lt;40,IF(Estoque[[#This Row],[Quantidade Atual]]&lt;=0,"Esgotado","Comprar"),"Atenção"),"OK")</f>
        <v>OK</v>
      </c>
    </row>
    <row r="17" spans="3:9" ht="15.6" x14ac:dyDescent="0.3">
      <c r="C17" s="79" t="s">
        <v>90</v>
      </c>
      <c r="D17" s="80">
        <f>IFERROR(INDEX(ComprasMerc[],MATCH(Estoque[[#This Row],[Produto]],ComprasMerc[Mercadoria],0),1),"")</f>
        <v>45872</v>
      </c>
      <c r="E17" s="79">
        <v>200</v>
      </c>
      <c r="F17" s="79">
        <f>SUMIF(ComprasMerc[Mercadoria],Estoque[[#This Row],[Produto]],ComprasMerc[Quantidade])</f>
        <v>600</v>
      </c>
      <c r="G17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571</v>
      </c>
      <c r="H17" s="79">
        <f>Estoque[[#This Row],[Quantidade Inicial]]+Estoque[[#This Row],[Quantidade Comprada]]-Estoque[[#This Row],[Quantidade Vendida]]</f>
        <v>229</v>
      </c>
      <c r="I17" s="79" t="str">
        <f>IF(Estoque[[#This Row],[Quantidade Atual]]&lt;100,IF(Estoque[[#This Row],[Quantidade Atual]]&lt;40,IF(Estoque[[#This Row],[Quantidade Atual]]&lt;=0,"Esgotado","Comprar"),"Atenção"),"OK")</f>
        <v>OK</v>
      </c>
    </row>
    <row r="18" spans="3:9" ht="15.6" x14ac:dyDescent="0.3">
      <c r="C18" s="79" t="s">
        <v>92</v>
      </c>
      <c r="D18" s="80">
        <f>IFERROR(INDEX(ComprasMerc[],MATCH(Estoque[[#This Row],[Produto]],ComprasMerc[Mercadoria],0),1),"")</f>
        <v>45872</v>
      </c>
      <c r="E18" s="79">
        <v>820</v>
      </c>
      <c r="F18" s="79">
        <f>SUMIF(ComprasMerc[Mercadoria],Estoque[[#This Row],[Produto]],ComprasMerc[Quantidade])</f>
        <v>550</v>
      </c>
      <c r="G18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1213</v>
      </c>
      <c r="H18" s="79">
        <f>Estoque[[#This Row],[Quantidade Inicial]]+Estoque[[#This Row],[Quantidade Comprada]]-Estoque[[#This Row],[Quantidade Vendida]]</f>
        <v>157</v>
      </c>
      <c r="I18" s="79" t="str">
        <f>IF(Estoque[[#This Row],[Quantidade Atual]]&lt;100,IF(Estoque[[#This Row],[Quantidade Atual]]&lt;40,IF(Estoque[[#This Row],[Quantidade Atual]]&lt;=0,"Esgotado","Comprar"),"Atenção"),"OK")</f>
        <v>OK</v>
      </c>
    </row>
    <row r="19" spans="3:9" ht="15.6" x14ac:dyDescent="0.3">
      <c r="C19" s="79" t="s">
        <v>94</v>
      </c>
      <c r="D19" s="80">
        <f>IFERROR(INDEX(ComprasMerc[],MATCH(Estoque[[#This Row],[Produto]],ComprasMerc[Mercadoria],0),1),"")</f>
        <v>45871</v>
      </c>
      <c r="E19" s="79">
        <v>700</v>
      </c>
      <c r="F19" s="79">
        <f>SUMIF(ComprasMerc[Mercadoria],Estoque[[#This Row],[Produto]],ComprasMerc[Quantidade])</f>
        <v>800</v>
      </c>
      <c r="G19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1315</v>
      </c>
      <c r="H19" s="79">
        <f>Estoque[[#This Row],[Quantidade Inicial]]+Estoque[[#This Row],[Quantidade Comprada]]-Estoque[[#This Row],[Quantidade Vendida]]</f>
        <v>185</v>
      </c>
      <c r="I19" s="79" t="str">
        <f>IF(Estoque[[#This Row],[Quantidade Atual]]&lt;100,IF(Estoque[[#This Row],[Quantidade Atual]]&lt;40,IF(Estoque[[#This Row],[Quantidade Atual]]&lt;=0,"Esgotado","Comprar"),"Atenção"),"OK")</f>
        <v>OK</v>
      </c>
    </row>
    <row r="20" spans="3:9" ht="15.6" x14ac:dyDescent="0.3">
      <c r="C20" s="79" t="s">
        <v>96</v>
      </c>
      <c r="D20" s="80">
        <f>IFERROR(INDEX(ComprasMerc[],MATCH(Estoque[[#This Row],[Produto]],ComprasMerc[Mercadoria],0),1),"")</f>
        <v>45871</v>
      </c>
      <c r="E20" s="79">
        <v>1100</v>
      </c>
      <c r="F20" s="79">
        <f>SUMIF(ComprasMerc[Mercadoria],Estoque[[#This Row],[Produto]],ComprasMerc[Quantidade])</f>
        <v>400</v>
      </c>
      <c r="G20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1251</v>
      </c>
      <c r="H20" s="79">
        <f>Estoque[[#This Row],[Quantidade Inicial]]+Estoque[[#This Row],[Quantidade Comprada]]-Estoque[[#This Row],[Quantidade Vendida]]</f>
        <v>249</v>
      </c>
      <c r="I20" s="79" t="str">
        <f>IF(Estoque[[#This Row],[Quantidade Atual]]&lt;100,IF(Estoque[[#This Row],[Quantidade Atual]]&lt;40,IF(Estoque[[#This Row],[Quantidade Atual]]&lt;=0,"Esgotado","Comprar"),"Atenção"),"OK")</f>
        <v>OK</v>
      </c>
    </row>
    <row r="21" spans="3:9" ht="15.6" x14ac:dyDescent="0.3">
      <c r="C21" s="79" t="s">
        <v>98</v>
      </c>
      <c r="D21" s="80">
        <f>IFERROR(INDEX(ComprasMerc[],MATCH(Estoque[[#This Row],[Produto]],ComprasMerc[Mercadoria],0),1),"")</f>
        <v>45871</v>
      </c>
      <c r="E21" s="79">
        <v>300</v>
      </c>
      <c r="F21" s="79">
        <f>SUMIF(ComprasMerc[Mercadoria],Estoque[[#This Row],[Produto]],ComprasMerc[Quantidade])</f>
        <v>200</v>
      </c>
      <c r="G21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423</v>
      </c>
      <c r="H21" s="79">
        <f>Estoque[[#This Row],[Quantidade Inicial]]+Estoque[[#This Row],[Quantidade Comprada]]-Estoque[[#This Row],[Quantidade Vendida]]</f>
        <v>77</v>
      </c>
      <c r="I21" s="79" t="str">
        <f>IF(Estoque[[#This Row],[Quantidade Atual]]&lt;100,IF(Estoque[[#This Row],[Quantidade Atual]]&lt;40,IF(Estoque[[#This Row],[Quantidade Atual]]&lt;=0,"Esgotado","Comprar"),"Atenção"),"OK")</f>
        <v>Atenção</v>
      </c>
    </row>
    <row r="22" spans="3:9" ht="15.6" x14ac:dyDescent="0.3">
      <c r="C22" s="79" t="s">
        <v>100</v>
      </c>
      <c r="D22" s="80">
        <f>IFERROR(INDEX(ComprasMerc[],MATCH(Estoque[[#This Row],[Produto]],ComprasMerc[Mercadoria],0),1),"")</f>
        <v>45871</v>
      </c>
      <c r="E22" s="79">
        <v>1000</v>
      </c>
      <c r="F22" s="79">
        <f>SUMIF(ComprasMerc[Mercadoria],Estoque[[#This Row],[Produto]],ComprasMerc[Quantidade])</f>
        <v>600</v>
      </c>
      <c r="G22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1287</v>
      </c>
      <c r="H22" s="79">
        <f>Estoque[[#This Row],[Quantidade Inicial]]+Estoque[[#This Row],[Quantidade Comprada]]-Estoque[[#This Row],[Quantidade Vendida]]</f>
        <v>313</v>
      </c>
      <c r="I22" s="79" t="str">
        <f>IF(Estoque[[#This Row],[Quantidade Atual]]&lt;100,IF(Estoque[[#This Row],[Quantidade Atual]]&lt;40,IF(Estoque[[#This Row],[Quantidade Atual]]&lt;=0,"Esgotado","Comprar"),"Atenção"),"OK")</f>
        <v>OK</v>
      </c>
    </row>
    <row r="23" spans="3:9" ht="15.6" x14ac:dyDescent="0.3">
      <c r="C23" s="79" t="s">
        <v>101</v>
      </c>
      <c r="D23" s="80">
        <f>IFERROR(INDEX(ComprasMerc[],MATCH(Estoque[[#This Row],[Produto]],ComprasMerc[Mercadoria],0),1),"")</f>
        <v>45871</v>
      </c>
      <c r="E23" s="79">
        <v>810</v>
      </c>
      <c r="F23" s="79">
        <f>SUMIF(ComprasMerc[Mercadoria],Estoque[[#This Row],[Produto]],ComprasMerc[Quantidade])</f>
        <v>1000</v>
      </c>
      <c r="G23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1700</v>
      </c>
      <c r="H23" s="79">
        <f>Estoque[[#This Row],[Quantidade Inicial]]+Estoque[[#This Row],[Quantidade Comprada]]-Estoque[[#This Row],[Quantidade Vendida]]</f>
        <v>110</v>
      </c>
      <c r="I23" s="79" t="str">
        <f>IF(Estoque[[#This Row],[Quantidade Atual]]&lt;100,IF(Estoque[[#This Row],[Quantidade Atual]]&lt;40,IF(Estoque[[#This Row],[Quantidade Atual]]&lt;=0,"Esgotado","Comprar"),"Atenção"),"OK")</f>
        <v>OK</v>
      </c>
    </row>
    <row r="24" spans="3:9" ht="15.6" x14ac:dyDescent="0.3">
      <c r="C24" s="79" t="s">
        <v>102</v>
      </c>
      <c r="D24" s="80">
        <f>IFERROR(INDEX(ComprasMerc[],MATCH(Estoque[[#This Row],[Produto]],ComprasMerc[Mercadoria],0),1),"")</f>
        <v>45871</v>
      </c>
      <c r="E24" s="79">
        <v>600</v>
      </c>
      <c r="F24" s="79">
        <f>SUMIF(ComprasMerc[Mercadoria],Estoque[[#This Row],[Produto]],ComprasMerc[Quantidade])</f>
        <v>800</v>
      </c>
      <c r="G24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1340</v>
      </c>
      <c r="H24" s="79">
        <f>Estoque[[#This Row],[Quantidade Inicial]]+Estoque[[#This Row],[Quantidade Comprada]]-Estoque[[#This Row],[Quantidade Vendida]]</f>
        <v>60</v>
      </c>
      <c r="I24" s="79" t="str">
        <f>IF(Estoque[[#This Row],[Quantidade Atual]]&lt;100,IF(Estoque[[#This Row],[Quantidade Atual]]&lt;40,IF(Estoque[[#This Row],[Quantidade Atual]]&lt;=0,"Esgotado","Comprar"),"Atenção"),"OK")</f>
        <v>Atenção</v>
      </c>
    </row>
    <row r="25" spans="3:9" ht="15.6" x14ac:dyDescent="0.3">
      <c r="C25" s="79" t="s">
        <v>69</v>
      </c>
      <c r="D25" s="80">
        <f>IFERROR(INDEX(ComprasMerc[],MATCH(Estoque[[#This Row],[Produto]],ComprasMerc[Mercadoria],0),1),"")</f>
        <v>45884</v>
      </c>
      <c r="E25" s="79">
        <v>480</v>
      </c>
      <c r="F25" s="79">
        <f>SUMIF(ComprasMerc[Mercadoria],Estoque[[#This Row],[Produto]],ComprasMerc[Quantidade])</f>
        <v>250</v>
      </c>
      <c r="G25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710</v>
      </c>
      <c r="H25" s="79">
        <f>Estoque[[#This Row],[Quantidade Inicial]]+Estoque[[#This Row],[Quantidade Comprada]]-Estoque[[#This Row],[Quantidade Vendida]]</f>
        <v>20</v>
      </c>
      <c r="I25" s="79" t="str">
        <f>IF(Estoque[[#This Row],[Quantidade Atual]]&lt;100,IF(Estoque[[#This Row],[Quantidade Atual]]&lt;40,IF(Estoque[[#This Row],[Quantidade Atual]]&lt;=0,"Esgotado","Comprar"),"Atenção"),"OK")</f>
        <v>Comprar</v>
      </c>
    </row>
    <row r="26" spans="3:9" ht="15.6" x14ac:dyDescent="0.3">
      <c r="C26" s="79" t="s">
        <v>70</v>
      </c>
      <c r="D26" s="80">
        <f>IFERROR(INDEX(ComprasMerc[],MATCH(Estoque[[#This Row],[Produto]],ComprasMerc[Mercadoria],0),1),"")</f>
        <v>45884</v>
      </c>
      <c r="E26" s="79">
        <v>325</v>
      </c>
      <c r="F26" s="79">
        <f>SUMIF(ComprasMerc[Mercadoria],Estoque[[#This Row],[Produto]],ComprasMerc[Quantidade])</f>
        <v>150</v>
      </c>
      <c r="G26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450</v>
      </c>
      <c r="H26" s="79">
        <f>Estoque[[#This Row],[Quantidade Inicial]]+Estoque[[#This Row],[Quantidade Comprada]]-Estoque[[#This Row],[Quantidade Vendida]]</f>
        <v>25</v>
      </c>
      <c r="I26" s="79" t="str">
        <f>IF(Estoque[[#This Row],[Quantidade Atual]]&lt;100,IF(Estoque[[#This Row],[Quantidade Atual]]&lt;40,IF(Estoque[[#This Row],[Quantidade Atual]]&lt;=0,"Esgotado","Comprar"),"Atenção"),"OK")</f>
        <v>Comprar</v>
      </c>
    </row>
    <row r="27" spans="3:9" ht="15.6" x14ac:dyDescent="0.3">
      <c r="C27" s="79" t="s">
        <v>103</v>
      </c>
      <c r="D27" s="80">
        <f>IFERROR(INDEX(ComprasMerc[],MATCH(Estoque[[#This Row],[Produto]],ComprasMerc[Mercadoria],0),1),"")</f>
        <v>45871</v>
      </c>
      <c r="E27" s="79">
        <v>400</v>
      </c>
      <c r="F27" s="79">
        <f>SUMIF(ComprasMerc[Mercadoria],Estoque[[#This Row],[Produto]],ComprasMerc[Quantidade])</f>
        <v>40</v>
      </c>
      <c r="G27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345</v>
      </c>
      <c r="H27" s="79">
        <f>Estoque[[#This Row],[Quantidade Inicial]]+Estoque[[#This Row],[Quantidade Comprada]]-Estoque[[#This Row],[Quantidade Vendida]]</f>
        <v>95</v>
      </c>
      <c r="I27" s="79" t="str">
        <f>IF(Estoque[[#This Row],[Quantidade Atual]]&lt;100,IF(Estoque[[#This Row],[Quantidade Atual]]&lt;40,IF(Estoque[[#This Row],[Quantidade Atual]]&lt;=0,"Esgotado","Comprar"),"Atenção"),"OK")</f>
        <v>Atenção</v>
      </c>
    </row>
    <row r="28" spans="3:9" ht="15.6" x14ac:dyDescent="0.3">
      <c r="C28" s="79" t="s">
        <v>104</v>
      </c>
      <c r="D28" s="80">
        <f>IFERROR(INDEX(ComprasMerc[],MATCH(Estoque[[#This Row],[Produto]],ComprasMerc[Mercadoria],0),1),"")</f>
        <v>45871</v>
      </c>
      <c r="E28" s="79">
        <v>468</v>
      </c>
      <c r="F28" s="79">
        <f>SUMIF(ComprasMerc[Mercadoria],Estoque[[#This Row],[Produto]],ComprasMerc[Quantidade])</f>
        <v>110</v>
      </c>
      <c r="G28" s="79">
        <f>SUMIF(Semana1[Produto],Estoque[[#This Row],[Produto]],Semana1[Quantidade])+SUMIF(Semana2[Produto],Estoque[[#This Row],[Produto]],Semana2[Quantidade])+SUMIF(Semana3[Produto],Estoque[[#This Row],[Produto]],Semana3[Quantidade])+SUMIF(Semana4[Produto],Estoque[[#This Row],[Produto]],Semana4[Quantidade])+SUMIF(Semana5[Produto],Estoque[[#This Row],[Produto]],Semana5[Quantidade])</f>
        <v>578</v>
      </c>
      <c r="H28" s="79">
        <f>Estoque[[#This Row],[Quantidade Inicial]]+Estoque[[#This Row],[Quantidade Comprada]]-Estoque[[#This Row],[Quantidade Vendida]]</f>
        <v>0</v>
      </c>
      <c r="I28" s="79" t="str">
        <f>IF(Estoque[[#This Row],[Quantidade Atual]]&lt;100,IF(Estoque[[#This Row],[Quantidade Atual]]&lt;40,IF(Estoque[[#This Row],[Quantidade Atual]]&lt;=0,"Esgotado","Comprar"),"Atenção"),"OK")</f>
        <v>Esgotado</v>
      </c>
    </row>
  </sheetData>
  <conditionalFormatting sqref="I5:I28">
    <cfRule type="containsText" dxfId="4" priority="1" operator="containsText" text="Esgotado">
      <formula>NOT(ISERROR(SEARCH("Esgotado",I5)))</formula>
    </cfRule>
    <cfRule type="containsText" dxfId="3" priority="2" operator="containsText" text="Atenção">
      <formula>NOT(ISERROR(SEARCH("Atenção",I5)))</formula>
    </cfRule>
    <cfRule type="containsText" dxfId="2" priority="3" operator="containsText" text="Comprar">
      <formula>NOT(ISERROR(SEARCH("Comprar",I5)))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B2:F27"/>
  <sheetViews>
    <sheetView showGridLines="0" zoomScaleNormal="100" workbookViewId="0">
      <selection activeCell="E22" sqref="E22"/>
    </sheetView>
  </sheetViews>
  <sheetFormatPr defaultRowHeight="14.4" x14ac:dyDescent="0.3"/>
  <cols>
    <col min="2" max="2" width="26.5546875" bestFit="1" customWidth="1"/>
    <col min="3" max="5" width="45.5546875" customWidth="1"/>
    <col min="6" max="6" width="27.33203125" bestFit="1" customWidth="1"/>
    <col min="7" max="7" width="24.5546875" bestFit="1" customWidth="1"/>
    <col min="8" max="8" width="14.109375" bestFit="1" customWidth="1"/>
  </cols>
  <sheetData>
    <row r="2" spans="2:6" s="13" customFormat="1" ht="28.2" customHeight="1" x14ac:dyDescent="0.4">
      <c r="B2" s="11" t="s">
        <v>124</v>
      </c>
      <c r="C2" s="12"/>
      <c r="D2" s="12"/>
      <c r="E2" s="12"/>
      <c r="F2" s="12"/>
    </row>
    <row r="3" spans="2:6" ht="32.4" customHeight="1" x14ac:dyDescent="0.3"/>
    <row r="4" spans="2:6" ht="18" x14ac:dyDescent="0.35">
      <c r="C4" s="65" t="s">
        <v>125</v>
      </c>
      <c r="D4" s="65"/>
      <c r="E4" s="66">
        <f>SUM(E5:E6)</f>
        <v>237409.30799999999</v>
      </c>
    </row>
    <row r="5" spans="2:6" ht="18" x14ac:dyDescent="0.35">
      <c r="C5" s="67"/>
      <c r="D5" s="68" t="s">
        <v>126</v>
      </c>
      <c r="E5" s="69">
        <f>'Vendas do Mês'!D18-'Vendas do Mês'!D33</f>
        <v>233169.30799999999</v>
      </c>
    </row>
    <row r="6" spans="2:6" ht="18" x14ac:dyDescent="0.35">
      <c r="C6" s="67"/>
      <c r="D6" s="67" t="s">
        <v>127</v>
      </c>
      <c r="E6" s="70">
        <f>'Vendas do Mês'!$D$33</f>
        <v>4240</v>
      </c>
    </row>
    <row r="7" spans="2:6" ht="18" x14ac:dyDescent="0.35">
      <c r="C7" s="67" t="s">
        <v>128</v>
      </c>
      <c r="D7" s="67"/>
      <c r="E7" s="70"/>
    </row>
    <row r="8" spans="2:6" ht="18" x14ac:dyDescent="0.35">
      <c r="C8" s="67" t="s">
        <v>129</v>
      </c>
      <c r="D8" s="67"/>
      <c r="E8" s="70">
        <f>0.1*E4</f>
        <v>23740.930800000002</v>
      </c>
    </row>
    <row r="9" spans="2:6" ht="18.600000000000001" thickBot="1" x14ac:dyDescent="0.4">
      <c r="C9" s="71" t="s">
        <v>130</v>
      </c>
      <c r="D9" s="71"/>
      <c r="E9" s="72">
        <f>E4-E8</f>
        <v>213668.37719999999</v>
      </c>
    </row>
    <row r="10" spans="2:6" ht="18.600000000000001" thickTop="1" x14ac:dyDescent="0.35">
      <c r="C10" s="67"/>
      <c r="D10" s="67"/>
      <c r="E10" s="70"/>
    </row>
    <row r="11" spans="2:6" ht="18" x14ac:dyDescent="0.35">
      <c r="C11" s="65" t="s">
        <v>59</v>
      </c>
      <c r="D11" s="65"/>
      <c r="E11" s="66">
        <f>SUM(E12:E13)</f>
        <v>155166.29999999999</v>
      </c>
    </row>
    <row r="12" spans="2:6" ht="18" x14ac:dyDescent="0.35">
      <c r="C12" s="67"/>
      <c r="D12" s="68" t="s">
        <v>131</v>
      </c>
      <c r="E12" s="73">
        <f>'Compras Mercadorias'!I33</f>
        <v>86766.3</v>
      </c>
    </row>
    <row r="13" spans="2:6" ht="18" x14ac:dyDescent="0.35">
      <c r="C13" s="67"/>
      <c r="D13" s="67" t="s">
        <v>38</v>
      </c>
      <c r="E13" s="74">
        <f>'Despesas '!G31</f>
        <v>68400</v>
      </c>
    </row>
    <row r="14" spans="2:6" ht="18" x14ac:dyDescent="0.35">
      <c r="C14" s="67"/>
      <c r="D14" s="67"/>
      <c r="E14" s="67"/>
    </row>
    <row r="15" spans="2:6" ht="18.600000000000001" thickBot="1" x14ac:dyDescent="0.4">
      <c r="C15" s="75"/>
      <c r="D15" s="75"/>
      <c r="E15" s="75"/>
    </row>
    <row r="16" spans="2:6" ht="19.2" thickTop="1" thickBot="1" x14ac:dyDescent="0.4">
      <c r="C16" s="76" t="s">
        <v>132</v>
      </c>
      <c r="D16" s="76"/>
      <c r="E16" s="77">
        <f>E9-E11</f>
        <v>58502.0772</v>
      </c>
    </row>
    <row r="17" spans="3:5" ht="18.600000000000001" thickTop="1" x14ac:dyDescent="0.35">
      <c r="C17" s="67"/>
      <c r="D17" s="67"/>
      <c r="E17" s="67"/>
    </row>
    <row r="18" spans="3:5" ht="18" x14ac:dyDescent="0.35">
      <c r="C18" s="67" t="s">
        <v>133</v>
      </c>
      <c r="D18" s="67"/>
      <c r="E18" s="74">
        <f>Investimentos!E10</f>
        <v>12000</v>
      </c>
    </row>
    <row r="19" spans="3:5" ht="18" x14ac:dyDescent="0.35">
      <c r="C19" s="67"/>
      <c r="D19" s="67"/>
      <c r="E19" s="67"/>
    </row>
    <row r="20" spans="3:5" ht="18" x14ac:dyDescent="0.35">
      <c r="C20" s="67" t="s">
        <v>134</v>
      </c>
      <c r="D20" s="67"/>
      <c r="E20" s="70">
        <v>1200</v>
      </c>
    </row>
    <row r="21" spans="3:5" ht="18" x14ac:dyDescent="0.35">
      <c r="C21" s="67"/>
      <c r="D21" s="67"/>
      <c r="E21" s="70"/>
    </row>
    <row r="22" spans="3:5" ht="18.600000000000001" thickBot="1" x14ac:dyDescent="0.4">
      <c r="C22" s="76" t="s">
        <v>135</v>
      </c>
      <c r="D22" s="76"/>
      <c r="E22" s="78">
        <f>E16-E18-E20</f>
        <v>45302.0772</v>
      </c>
    </row>
    <row r="23" spans="3:5" ht="18.600000000000001" thickTop="1" x14ac:dyDescent="0.35">
      <c r="C23" s="67"/>
      <c r="D23" s="67"/>
      <c r="E23" s="70"/>
    </row>
    <row r="24" spans="3:5" ht="18" x14ac:dyDescent="0.35">
      <c r="C24" s="67" t="s">
        <v>31</v>
      </c>
      <c r="D24" s="67"/>
      <c r="E24" s="70">
        <f>IF(E22&gt;1000,0.2*E22,0)</f>
        <v>9060.4154400000007</v>
      </c>
    </row>
    <row r="25" spans="3:5" ht="18" x14ac:dyDescent="0.35">
      <c r="C25" s="67"/>
      <c r="D25" s="67"/>
      <c r="E25" s="70"/>
    </row>
    <row r="26" spans="3:5" ht="18.600000000000001" thickBot="1" x14ac:dyDescent="0.4">
      <c r="C26" s="76" t="s">
        <v>136</v>
      </c>
      <c r="D26" s="76"/>
      <c r="E26" s="78">
        <f>E22-E24</f>
        <v>36241.661760000003</v>
      </c>
    </row>
    <row r="27" spans="3:5" ht="15" thickTop="1" x14ac:dyDescent="0.3"/>
  </sheetData>
  <conditionalFormatting sqref="A1 E16 E22 E26">
    <cfRule type="cellIs" dxfId="1" priority="2" operator="lessThan">
      <formula>0</formula>
    </cfRule>
  </conditionalFormatting>
  <conditionalFormatting sqref="F28 E16 E22 E26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B2:O64"/>
  <sheetViews>
    <sheetView showGridLines="0" zoomScaleNormal="100" workbookViewId="0"/>
  </sheetViews>
  <sheetFormatPr defaultRowHeight="14.4" x14ac:dyDescent="0.3"/>
  <cols>
    <col min="2" max="2" width="14.44140625" customWidth="1"/>
    <col min="3" max="3" width="51" customWidth="1"/>
    <col min="4" max="4" width="20.88671875" bestFit="1" customWidth="1"/>
    <col min="5" max="5" width="16" customWidth="1"/>
    <col min="6" max="6" width="15.33203125" bestFit="1" customWidth="1"/>
    <col min="11" max="11" width="8.88671875" customWidth="1"/>
    <col min="12" max="12" width="8.5546875" customWidth="1"/>
    <col min="13" max="13" width="13" customWidth="1"/>
    <col min="14" max="14" width="12.109375" bestFit="1" customWidth="1"/>
    <col min="15" max="15" width="9.5546875" bestFit="1" customWidth="1"/>
  </cols>
  <sheetData>
    <row r="2" spans="2:15" s="26" customFormat="1" ht="28.2" customHeight="1" x14ac:dyDescent="0.4">
      <c r="C2" s="64" t="s">
        <v>137</v>
      </c>
      <c r="D2" s="25"/>
      <c r="E2" s="25"/>
      <c r="F2" s="25"/>
    </row>
    <row r="3" spans="2:15" ht="32.4" customHeight="1" x14ac:dyDescent="0.3"/>
    <row r="4" spans="2:15" ht="26.4" thickBot="1" x14ac:dyDescent="0.55000000000000004">
      <c r="N4" s="63" t="s">
        <v>138</v>
      </c>
    </row>
    <row r="5" spans="2:15" ht="15" thickTop="1" x14ac:dyDescent="0.3"/>
    <row r="6" spans="2:15" ht="15" thickBot="1" x14ac:dyDescent="0.35"/>
    <row r="7" spans="2:15" ht="15" thickTop="1" x14ac:dyDescent="0.3">
      <c r="B7" s="39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1"/>
    </row>
    <row r="8" spans="2:15" x14ac:dyDescent="0.3">
      <c r="B8" s="42"/>
      <c r="O8" s="43"/>
    </row>
    <row r="9" spans="2:15" x14ac:dyDescent="0.3">
      <c r="B9" s="42"/>
      <c r="O9" s="43"/>
    </row>
    <row r="10" spans="2:15" ht="18.600000000000001" thickBot="1" x14ac:dyDescent="0.4">
      <c r="B10" s="42"/>
      <c r="C10" s="47" t="s">
        <v>139</v>
      </c>
      <c r="D10" s="48">
        <f>'Semana 1'!M22</f>
        <v>30971.05</v>
      </c>
      <c r="O10" s="43"/>
    </row>
    <row r="11" spans="2:15" ht="18.600000000000001" thickBot="1" x14ac:dyDescent="0.4">
      <c r="B11" s="42"/>
      <c r="C11" s="49" t="s">
        <v>140</v>
      </c>
      <c r="D11" s="50">
        <f>'Semana 2'!M32</f>
        <v>63749.7</v>
      </c>
      <c r="O11" s="43"/>
    </row>
    <row r="12" spans="2:15" ht="18.600000000000001" thickBot="1" x14ac:dyDescent="0.4">
      <c r="B12" s="42"/>
      <c r="C12" s="49" t="s">
        <v>141</v>
      </c>
      <c r="D12" s="50">
        <f>'Semana 3'!M32</f>
        <v>46692.897999999994</v>
      </c>
      <c r="O12" s="43"/>
    </row>
    <row r="13" spans="2:15" ht="18.600000000000001" thickBot="1" x14ac:dyDescent="0.4">
      <c r="B13" s="42"/>
      <c r="C13" s="49" t="s">
        <v>142</v>
      </c>
      <c r="D13" s="50">
        <f>'Semana 4'!M32</f>
        <v>50955.31</v>
      </c>
      <c r="O13" s="43"/>
    </row>
    <row r="14" spans="2:15" ht="18" x14ac:dyDescent="0.35">
      <c r="B14" s="42"/>
      <c r="C14" s="51" t="s">
        <v>143</v>
      </c>
      <c r="D14" s="52">
        <f>'Semana 5'!N32</f>
        <v>45040.35</v>
      </c>
      <c r="O14" s="43"/>
    </row>
    <row r="15" spans="2:15" ht="18" x14ac:dyDescent="0.35">
      <c r="B15" s="42"/>
      <c r="C15" s="53"/>
      <c r="D15" s="53"/>
      <c r="O15" s="43"/>
    </row>
    <row r="16" spans="2:15" ht="18" x14ac:dyDescent="0.35">
      <c r="B16" s="42"/>
      <c r="C16" s="53"/>
      <c r="D16" s="53"/>
      <c r="O16" s="43"/>
    </row>
    <row r="17" spans="2:15" ht="18" x14ac:dyDescent="0.35">
      <c r="B17" s="42"/>
      <c r="C17" s="53"/>
      <c r="D17" s="53"/>
      <c r="O17" s="43"/>
    </row>
    <row r="18" spans="2:15" ht="18" x14ac:dyDescent="0.35">
      <c r="B18" s="42"/>
      <c r="C18" s="54" t="str">
        <f>"Total de Vendas de "&amp;N4</f>
        <v>Total de Vendas de Agosto</v>
      </c>
      <c r="D18" s="55">
        <f>SUM(D10:D14)</f>
        <v>237409.30799999999</v>
      </c>
      <c r="O18" s="43"/>
    </row>
    <row r="19" spans="2:15" x14ac:dyDescent="0.3">
      <c r="B19" s="42"/>
      <c r="O19" s="43"/>
    </row>
    <row r="20" spans="2:15" x14ac:dyDescent="0.3">
      <c r="B20" s="42"/>
      <c r="O20" s="43"/>
    </row>
    <row r="21" spans="2:15" x14ac:dyDescent="0.3">
      <c r="B21" s="42"/>
      <c r="O21" s="43"/>
    </row>
    <row r="22" spans="2:15" x14ac:dyDescent="0.3">
      <c r="B22" s="42"/>
      <c r="O22" s="43"/>
    </row>
    <row r="23" spans="2:15" ht="15" thickBot="1" x14ac:dyDescent="0.35">
      <c r="B23" s="44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6"/>
    </row>
    <row r="24" spans="2:15" ht="15" thickTop="1" x14ac:dyDescent="0.3"/>
    <row r="25" spans="2:15" ht="15" thickBot="1" x14ac:dyDescent="0.35"/>
    <row r="26" spans="2:15" ht="15" thickTop="1" x14ac:dyDescent="0.3"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1"/>
    </row>
    <row r="27" spans="2:15" x14ac:dyDescent="0.3">
      <c r="B27" s="42"/>
      <c r="O27" s="43"/>
    </row>
    <row r="28" spans="2:15" x14ac:dyDescent="0.3">
      <c r="B28" s="42"/>
      <c r="O28" s="43"/>
    </row>
    <row r="29" spans="2:15" ht="18.600000000000001" thickBot="1" x14ac:dyDescent="0.4">
      <c r="B29" s="42"/>
      <c r="C29" s="47" t="s">
        <v>144</v>
      </c>
      <c r="D29" s="59">
        <f>1-D30</f>
        <v>0.1875</v>
      </c>
      <c r="O29" s="43"/>
    </row>
    <row r="30" spans="2:15" ht="18.600000000000001" thickBot="1" x14ac:dyDescent="0.4">
      <c r="B30" s="42"/>
      <c r="C30" s="49" t="s">
        <v>145</v>
      </c>
      <c r="D30" s="62">
        <f>SUM(COUNTIF(Semana1[Taxa de Entrega],"&gt;0"),COUNTIF(Semana2[Taxa de Entrega],"&gt;0"),COUNTIF(Semana3[Taxa de Entrega],"&gt;0"),COUNTIF(Semana4[Taxa de Entrega],"&gt;0"),COUNTIF(Semana5[Taxa de Entrega],"&gt;0"))/SUM('Semana 1'!M24,'Semana 2'!M34,'Semana 3'!M34,'Semana 4'!M34,'Semana 5'!N34)</f>
        <v>0.8125</v>
      </c>
      <c r="O30" s="43"/>
    </row>
    <row r="31" spans="2:15" ht="18.600000000000001" thickBot="1" x14ac:dyDescent="0.4">
      <c r="B31" s="42"/>
      <c r="C31" s="49" t="s">
        <v>146</v>
      </c>
      <c r="D31" s="60">
        <f>SUM(SUMIF(Semana1[Taxa de Entrega],"&gt;0",Semana1[Total para o Cliente]),SUMIF(Semana2[Taxa de Entrega],"&gt;0",Semana2[Total para o Cliente]),SUMIF(Semana3[Taxa de Entrega],"&gt;0",Semana3[Total para o Cliente]),SUMIF(Semana4[Taxa de Entrega],"&gt;0",Semana4[Total para o Cliente]),SUMIF(Semana5[Taxa de Entrega],"&gt;0",Semana5[Total para o Cliente]))</f>
        <v>230159.92799999999</v>
      </c>
      <c r="O31" s="43"/>
    </row>
    <row r="32" spans="2:15" ht="18.600000000000001" thickBot="1" x14ac:dyDescent="0.4">
      <c r="B32" s="42"/>
      <c r="C32" s="51" t="s">
        <v>147</v>
      </c>
      <c r="D32" s="61">
        <f>D18-D31</f>
        <v>7249.3800000000047</v>
      </c>
      <c r="O32" s="43"/>
    </row>
    <row r="33" spans="2:15" ht="18" x14ac:dyDescent="0.35">
      <c r="B33" s="42"/>
      <c r="C33" s="51" t="s">
        <v>148</v>
      </c>
      <c r="D33" s="61">
        <f>SUM('Semana 1'!M23,'Semana 2'!M33,'Semana 3'!M33,'Semana 4'!M33,'Semana 5'!N33)</f>
        <v>4240</v>
      </c>
      <c r="O33" s="43"/>
    </row>
    <row r="34" spans="2:15" x14ac:dyDescent="0.3">
      <c r="B34" s="42"/>
      <c r="O34" s="43"/>
    </row>
    <row r="35" spans="2:15" x14ac:dyDescent="0.3">
      <c r="B35" s="42"/>
      <c r="O35" s="43"/>
    </row>
    <row r="36" spans="2:15" x14ac:dyDescent="0.3">
      <c r="B36" s="42"/>
      <c r="O36" s="43"/>
    </row>
    <row r="37" spans="2:15" x14ac:dyDescent="0.3">
      <c r="B37" s="42"/>
      <c r="O37" s="43"/>
    </row>
    <row r="38" spans="2:15" ht="18" x14ac:dyDescent="0.35">
      <c r="B38" s="42"/>
      <c r="C38" s="54" t="s">
        <v>149</v>
      </c>
      <c r="D38" s="58">
        <f>SUM('Semana 1'!M22,'Semana 2'!M32,'Semana 3'!M32,'Semana 4'!M32,'Semana 5'!N32)/SUM('Semana 1'!M24,'Semana 2'!M34,'Semana 3'!M34,'Semana 4'!M34,'Semana 5'!N34)</f>
        <v>7419.0408749999997</v>
      </c>
      <c r="O38" s="43"/>
    </row>
    <row r="39" spans="2:15" x14ac:dyDescent="0.3">
      <c r="B39" s="42"/>
      <c r="O39" s="43"/>
    </row>
    <row r="40" spans="2:15" x14ac:dyDescent="0.3">
      <c r="B40" s="42"/>
      <c r="O40" s="43"/>
    </row>
    <row r="41" spans="2:15" x14ac:dyDescent="0.3">
      <c r="B41" s="42"/>
      <c r="O41" s="43"/>
    </row>
    <row r="42" spans="2:15" x14ac:dyDescent="0.3">
      <c r="B42" s="42"/>
      <c r="O42" s="43"/>
    </row>
    <row r="43" spans="2:15" ht="15" thickBot="1" x14ac:dyDescent="0.35">
      <c r="B43" s="44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6"/>
    </row>
    <row r="44" spans="2:15" ht="15" thickTop="1" x14ac:dyDescent="0.3"/>
    <row r="45" spans="2:15" ht="15" thickBot="1" x14ac:dyDescent="0.35"/>
    <row r="46" spans="2:15" ht="15" thickTop="1" x14ac:dyDescent="0.3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1"/>
    </row>
    <row r="47" spans="2:15" x14ac:dyDescent="0.3">
      <c r="B47" s="42"/>
      <c r="O47" s="43"/>
    </row>
    <row r="48" spans="2:15" x14ac:dyDescent="0.3">
      <c r="B48" s="42"/>
      <c r="O48" s="43"/>
    </row>
    <row r="49" spans="2:15" ht="18" x14ac:dyDescent="0.35">
      <c r="B49" s="42"/>
      <c r="C49" s="54" t="s">
        <v>150</v>
      </c>
      <c r="O49" s="43"/>
    </row>
    <row r="50" spans="2:15" x14ac:dyDescent="0.3">
      <c r="B50" s="42"/>
      <c r="O50" s="43"/>
    </row>
    <row r="51" spans="2:15" ht="18.600000000000001" thickBot="1" x14ac:dyDescent="0.4">
      <c r="B51" s="42"/>
      <c r="D51" s="47" t="s">
        <v>151</v>
      </c>
      <c r="O51" s="43"/>
    </row>
    <row r="52" spans="2:15" ht="18.600000000000001" thickBot="1" x14ac:dyDescent="0.4">
      <c r="B52" s="42"/>
      <c r="C52" s="47" t="s">
        <v>152</v>
      </c>
      <c r="D52" s="47">
        <f>COUNTIFS(Semana1[Entrega],'Vendas do Mês'!C52,Semana1[Total para o Cliente],"&gt;0")+COUNTIFS(Semana2[Entrega],'Vendas do Mês'!C52,Semana2[Total para o Cliente],"&gt;0")+COUNTIFS(Semana3[Entrega],'Vendas do Mês'!C52,Semana3[Total para o Cliente],"&gt;0")+COUNTIFS(Semana4[Entrega],'Vendas do Mês'!C52,Semana4[Total para o Cliente],"&gt;0")+COUNTIFS(Semana5[Entrega],'Vendas do Mês'!C52,Semana5[Total para o Cliente],"&gt;0")</f>
        <v>6</v>
      </c>
      <c r="O52" s="43"/>
    </row>
    <row r="53" spans="2:15" ht="18.600000000000001" thickBot="1" x14ac:dyDescent="0.4">
      <c r="B53" s="42"/>
      <c r="C53" s="51" t="s">
        <v>153</v>
      </c>
      <c r="D53" s="47">
        <f>COUNTIFS(Semana1[Entrega],'Vendas do Mês'!C53,Semana1[Total para o Cliente],"&gt;0")+COUNTIFS(Semana2[Entrega],'Vendas do Mês'!C53,Semana2[Total para o Cliente],"&gt;0")+COUNTIFS(Semana3[Entrega],'Vendas do Mês'!C53,Semana3[Total para o Cliente],"&gt;0")+COUNTIFS(Semana4[Entrega],'Vendas do Mês'!C53,Semana4[Total para o Cliente],"&gt;0")+COUNTIFS(Semana5[Entrega],'Vendas do Mês'!C53,Semana5[Total para o Cliente],"&gt;0")</f>
        <v>6</v>
      </c>
      <c r="O53" s="43"/>
    </row>
    <row r="54" spans="2:15" ht="18.600000000000001" thickBot="1" x14ac:dyDescent="0.4">
      <c r="B54" s="42"/>
      <c r="C54" s="51" t="s">
        <v>154</v>
      </c>
      <c r="D54" s="47">
        <f>COUNTIFS(Semana1[Entrega],'Vendas do Mês'!C54,Semana1[Total para o Cliente],"&gt;0")+COUNTIFS(Semana2[Entrega],'Vendas do Mês'!C54,Semana2[Total para o Cliente],"&gt;0")+COUNTIFS(Semana3[Entrega],'Vendas do Mês'!C54,Semana3[Total para o Cliente],"&gt;0")+COUNTIFS(Semana4[Entrega],'Vendas do Mês'!C54,Semana4[Total para o Cliente],"&gt;0")+COUNTIFS(Semana5[Entrega],'Vendas do Mês'!C54,Semana5[Total para o Cliente],"&gt;0")</f>
        <v>7</v>
      </c>
      <c r="O54" s="43"/>
    </row>
    <row r="55" spans="2:15" ht="18.600000000000001" thickBot="1" x14ac:dyDescent="0.4">
      <c r="B55" s="42"/>
      <c r="C55" s="51" t="s">
        <v>155</v>
      </c>
      <c r="D55" s="47">
        <f>COUNTIFS(Semana1[Entrega],'Vendas do Mês'!C55,Semana1[Total para o Cliente],"&gt;0")+COUNTIFS(Semana2[Entrega],'Vendas do Mês'!C55,Semana2[Total para o Cliente],"&gt;0")+COUNTIFS(Semana3[Entrega],'Vendas do Mês'!C55,Semana3[Total para o Cliente],"&gt;0")+COUNTIFS(Semana4[Entrega],'Vendas do Mês'!C55,Semana4[Total para o Cliente],"&gt;0")+COUNTIFS(Semana5[Entrega],'Vendas do Mês'!C55,Semana5[Total para o Cliente],"&gt;0")</f>
        <v>6</v>
      </c>
      <c r="O55" s="43"/>
    </row>
    <row r="56" spans="2:15" ht="18" x14ac:dyDescent="0.35">
      <c r="B56" s="42"/>
      <c r="C56" s="51" t="s">
        <v>156</v>
      </c>
      <c r="D56" s="51">
        <f>COUNTIFS(Semana1[Entrega],'Vendas do Mês'!C56,Semana1[Total para o Cliente],"&gt;0")+COUNTIFS(Semana2[Entrega],'Vendas do Mês'!C56,Semana2[Total para o Cliente],"&gt;0")+COUNTIFS(Semana3[Entrega],'Vendas do Mês'!C56,Semana3[Total para o Cliente],"&gt;0")+COUNTIFS(Semana4[Entrega],'Vendas do Mês'!C56,Semana4[Total para o Cliente],"&gt;0")+COUNTIFS(Semana5[Entrega],'Vendas do Mês'!C56,Semana5[Total para o Cliente],"&gt;0")</f>
        <v>7</v>
      </c>
      <c r="O56" s="43"/>
    </row>
    <row r="57" spans="2:15" x14ac:dyDescent="0.3">
      <c r="B57" s="42"/>
      <c r="O57" s="43"/>
    </row>
    <row r="58" spans="2:15" x14ac:dyDescent="0.3">
      <c r="B58" s="42"/>
      <c r="O58" s="43"/>
    </row>
    <row r="59" spans="2:15" x14ac:dyDescent="0.3">
      <c r="B59" s="42"/>
      <c r="O59" s="43"/>
    </row>
    <row r="60" spans="2:15" x14ac:dyDescent="0.3">
      <c r="B60" s="42"/>
      <c r="O60" s="43"/>
    </row>
    <row r="61" spans="2:15" x14ac:dyDescent="0.3">
      <c r="B61" s="42"/>
      <c r="O61" s="43"/>
    </row>
    <row r="62" spans="2:15" x14ac:dyDescent="0.3">
      <c r="B62" s="42"/>
      <c r="O62" s="43"/>
    </row>
    <row r="63" spans="2:15" ht="15" thickBot="1" x14ac:dyDescent="0.35">
      <c r="B63" s="44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6"/>
    </row>
    <row r="64" spans="2:15" ht="15" thickTop="1" x14ac:dyDescent="0.3"/>
  </sheetData>
  <phoneticPr fontId="8" type="noConversion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E8EDC-CFE5-405C-B63E-8F771E3BDACF}">
  <sheetPr codeName="Planilha8"/>
  <dimension ref="B2:Q28"/>
  <sheetViews>
    <sheetView showGridLines="0" zoomScaleNormal="100" workbookViewId="0">
      <selection activeCell="M10" sqref="M10"/>
    </sheetView>
  </sheetViews>
  <sheetFormatPr defaultRowHeight="14.4" x14ac:dyDescent="0.3"/>
  <cols>
    <col min="1" max="1" width="19.6640625" customWidth="1"/>
    <col min="2" max="2" width="15.44140625" customWidth="1"/>
    <col min="3" max="3" width="14.44140625" customWidth="1"/>
    <col min="4" max="4" width="15.33203125" customWidth="1"/>
    <col min="5" max="5" width="13.5546875" customWidth="1"/>
    <col min="6" max="6" width="14.44140625" customWidth="1"/>
    <col min="7" max="7" width="16.88671875" customWidth="1"/>
    <col min="8" max="8" width="16.5546875" customWidth="1"/>
    <col min="9" max="9" width="11.88671875" bestFit="1" customWidth="1"/>
    <col min="10" max="10" width="11.5546875" customWidth="1"/>
    <col min="11" max="11" width="17.88671875" bestFit="1" customWidth="1"/>
    <col min="12" max="12" width="15.6640625" customWidth="1"/>
    <col min="13" max="13" width="22" bestFit="1" customWidth="1"/>
    <col min="14" max="14" width="10.109375" bestFit="1" customWidth="1"/>
  </cols>
  <sheetData>
    <row r="2" spans="2:13" s="26" customFormat="1" ht="28.2" customHeight="1" x14ac:dyDescent="0.4">
      <c r="B2" s="24" t="s">
        <v>157</v>
      </c>
      <c r="C2" s="25"/>
      <c r="D2" s="25"/>
      <c r="E2" s="25"/>
      <c r="F2" s="25"/>
    </row>
    <row r="3" spans="2:13" ht="32.4" customHeight="1" x14ac:dyDescent="0.3"/>
    <row r="4" spans="2:13" x14ac:dyDescent="0.3">
      <c r="B4" t="s">
        <v>158</v>
      </c>
      <c r="C4" t="s">
        <v>23</v>
      </c>
      <c r="D4" t="s">
        <v>117</v>
      </c>
      <c r="E4" t="s">
        <v>63</v>
      </c>
      <c r="F4" t="s">
        <v>64</v>
      </c>
      <c r="G4" t="s">
        <v>65</v>
      </c>
      <c r="H4" t="s">
        <v>159</v>
      </c>
      <c r="I4" t="s">
        <v>66</v>
      </c>
      <c r="J4" t="s">
        <v>160</v>
      </c>
      <c r="K4" t="s">
        <v>161</v>
      </c>
      <c r="L4" t="s">
        <v>162</v>
      </c>
      <c r="M4" t="s">
        <v>163</v>
      </c>
    </row>
    <row r="5" spans="2:13" x14ac:dyDescent="0.3">
      <c r="B5" s="84">
        <v>4</v>
      </c>
      <c r="C5" s="85">
        <v>45872</v>
      </c>
      <c r="D5" s="84" t="s">
        <v>72</v>
      </c>
      <c r="E5" s="84" t="str">
        <f>IFERROR(VLOOKUP(Semana1[[#This Row],[Produto]],'Cálculos e Anotações'!$K$5:$N$34,4,0),"")</f>
        <v>Kg</v>
      </c>
      <c r="F5" s="84">
        <v>190</v>
      </c>
      <c r="G5" s="86">
        <f>IFERROR(VLOOKUP(Semana1[[#This Row],[Produto]],'Cálculos e Anotações'!$K$5:$N$34,3,0),0)</f>
        <v>30.9</v>
      </c>
      <c r="H5" s="86">
        <f>Semana1[[#This Row],[Quantidade]]*Semana1[[#This Row],[Preço Unitário]]</f>
        <v>5871</v>
      </c>
      <c r="I5" s="87"/>
      <c r="J5" s="84" t="s">
        <v>153</v>
      </c>
      <c r="K5" s="86">
        <f>IFERROR(IF(Semana1[[#This Row],[ID da Venda]]=B6,0,VLOOKUP(Semana1[[#This Row],[Entrega]],'Cálculos e Anotações'!$C$37:$D$41,2,FALSE)),0)</f>
        <v>0</v>
      </c>
      <c r="L5" s="86">
        <f>Semana1[[#This Row],[Subtotal]]*(1-Semana1[[#This Row],[Desconto]])+Semana1[[#This Row],[Taxa de Entrega]]</f>
        <v>5871</v>
      </c>
      <c r="M5" s="86" t="str">
        <f>IF(Semana1[[#This Row],[ID da Venda]]=B6,"",SUMIF(Semana1[ID da Venda],Semana1[[#This Row],[ID da Venda]],Semana1[Total]))</f>
        <v/>
      </c>
    </row>
    <row r="6" spans="2:13" x14ac:dyDescent="0.3">
      <c r="B6" s="84">
        <v>4</v>
      </c>
      <c r="C6" s="85">
        <v>45872</v>
      </c>
      <c r="D6" s="84" t="s">
        <v>78</v>
      </c>
      <c r="E6" s="84" t="str">
        <f>IFERROR(VLOOKUP(Semana1[[#This Row],[Produto]],'Cálculos e Anotações'!$K$5:$N$34,4,0),"")</f>
        <v>Kg</v>
      </c>
      <c r="F6" s="84">
        <v>220</v>
      </c>
      <c r="G6" s="86">
        <f>IFERROR(VLOOKUP(Semana1[[#This Row],[Produto]],'Cálculos e Anotações'!$K$5:$N$34,3,0),0)</f>
        <v>5.3</v>
      </c>
      <c r="H6" s="86">
        <f>Semana1[[#This Row],[Quantidade]]*Semana1[[#This Row],[Preço Unitário]]</f>
        <v>1166</v>
      </c>
      <c r="I6" s="87">
        <v>7.0000000000000007E-2</v>
      </c>
      <c r="J6" s="84" t="s">
        <v>153</v>
      </c>
      <c r="K6" s="86">
        <f>IFERROR(IF(Semana1[[#This Row],[ID da Venda]]=B7,0,VLOOKUP(Semana1[[#This Row],[Entrega]],'Cálculos e Anotações'!$C$37:$D$41,2,FALSE)),0)</f>
        <v>100</v>
      </c>
      <c r="L6" s="86">
        <f>Semana1[[#This Row],[Subtotal]]*(1-Semana1[[#This Row],[Desconto]])+Semana1[[#This Row],[Taxa de Entrega]]</f>
        <v>1184.3799999999999</v>
      </c>
      <c r="M6" s="86">
        <f>IF(Semana1[[#This Row],[ID da Venda]]=B7,"",SUMIF(Semana1[ID da Venda],Semana1[[#This Row],[ID da Venda]],Semana1[Total]))</f>
        <v>7055.38</v>
      </c>
    </row>
    <row r="7" spans="2:13" x14ac:dyDescent="0.3">
      <c r="B7" s="84">
        <v>3</v>
      </c>
      <c r="C7" s="85">
        <v>45872</v>
      </c>
      <c r="D7" s="84" t="s">
        <v>90</v>
      </c>
      <c r="E7" s="84" t="str">
        <f>IFERROR(VLOOKUP(Semana1[[#This Row],[Produto]],'Cálculos e Anotações'!$K$5:$N$34,4,0),"")</f>
        <v>Kg</v>
      </c>
      <c r="F7" s="84">
        <v>15</v>
      </c>
      <c r="G7" s="86">
        <f>IFERROR(VLOOKUP(Semana1[[#This Row],[Produto]],'Cálculos e Anotações'!$K$5:$N$34,3,0),0)</f>
        <v>6.8</v>
      </c>
      <c r="H7" s="86">
        <f>Semana1[[#This Row],[Quantidade]]*Semana1[[#This Row],[Preço Unitário]]</f>
        <v>102</v>
      </c>
      <c r="I7" s="87"/>
      <c r="J7" s="84" t="s">
        <v>152</v>
      </c>
      <c r="K7" s="86">
        <f>IFERROR(IF(Semana1[[#This Row],[ID da Venda]]=B8,0,VLOOKUP(Semana1[[#This Row],[Entrega]],'Cálculos e Anotações'!$C$37:$D$41,2,FALSE)),0)</f>
        <v>0</v>
      </c>
      <c r="L7" s="86">
        <f>Semana1[[#This Row],[Subtotal]]*(1-Semana1[[#This Row],[Desconto]])+Semana1[[#This Row],[Taxa de Entrega]]</f>
        <v>102</v>
      </c>
      <c r="M7" s="86" t="str">
        <f>IF(Semana1[[#This Row],[ID da Venda]]=B8,"",SUMIF(Semana1[ID da Venda],Semana1[[#This Row],[ID da Venda]],Semana1[Total]))</f>
        <v/>
      </c>
    </row>
    <row r="8" spans="2:13" x14ac:dyDescent="0.3">
      <c r="B8" s="84">
        <v>3</v>
      </c>
      <c r="C8" s="85">
        <v>45872</v>
      </c>
      <c r="D8" s="84" t="s">
        <v>94</v>
      </c>
      <c r="E8" s="84" t="str">
        <f>IFERROR(VLOOKUP(Semana1[[#This Row],[Produto]],'Cálculos e Anotações'!$K$5:$N$34,4,0),"")</f>
        <v>Litro</v>
      </c>
      <c r="F8" s="84">
        <v>20</v>
      </c>
      <c r="G8" s="86">
        <f>IFERROR(VLOOKUP(Semana1[[#This Row],[Produto]],'Cálculos e Anotações'!$K$5:$N$34,3,0),0)</f>
        <v>4.3899999999999997</v>
      </c>
      <c r="H8" s="86">
        <f>Semana1[[#This Row],[Quantidade]]*Semana1[[#This Row],[Preço Unitário]]</f>
        <v>87.8</v>
      </c>
      <c r="I8" s="87"/>
      <c r="J8" s="84" t="s">
        <v>152</v>
      </c>
      <c r="K8" s="86">
        <f>IFERROR(IF(Semana1[[#This Row],[ID da Venda]]=B9,0,VLOOKUP(Semana1[[#This Row],[Entrega]],'Cálculos e Anotações'!$C$37:$D$41,2,FALSE)),0)</f>
        <v>0</v>
      </c>
      <c r="L8" s="86">
        <f>Semana1[[#This Row],[Subtotal]]*(1-Semana1[[#This Row],[Desconto]])+Semana1[[#This Row],[Taxa de Entrega]]</f>
        <v>87.8</v>
      </c>
      <c r="M8" s="86">
        <f>IF(Semana1[[#This Row],[ID da Venda]]=B9,"",SUMIF(Semana1[ID da Venda],Semana1[[#This Row],[ID da Venda]],Semana1[Total]))</f>
        <v>189.8</v>
      </c>
    </row>
    <row r="9" spans="2:13" x14ac:dyDescent="0.3">
      <c r="B9" s="84">
        <v>2</v>
      </c>
      <c r="C9" s="85">
        <v>45871</v>
      </c>
      <c r="D9" s="84" t="s">
        <v>101</v>
      </c>
      <c r="E9" s="84" t="str">
        <f>IFERROR(VLOOKUP(Semana1[[#This Row],[Produto]],'Cálculos e Anotações'!$K$5:$N$34,4,0),"")</f>
        <v>Litro</v>
      </c>
      <c r="F9" s="84">
        <v>260</v>
      </c>
      <c r="G9" s="86">
        <f>IFERROR(VLOOKUP(Semana1[[#This Row],[Produto]],'Cálculos e Anotações'!$K$5:$N$34,3,0),0)</f>
        <v>2.65</v>
      </c>
      <c r="H9" s="86">
        <f>Semana1[[#This Row],[Quantidade]]*Semana1[[#This Row],[Preço Unitário]]</f>
        <v>689</v>
      </c>
      <c r="I9" s="87"/>
      <c r="J9" s="84" t="s">
        <v>154</v>
      </c>
      <c r="K9" s="86">
        <f>IFERROR(IF(Semana1[[#This Row],[ID da Venda]]=B10,0,VLOOKUP(Semana1[[#This Row],[Entrega]],'Cálculos e Anotações'!$C$37:$D$41,2,FALSE)),0)</f>
        <v>0</v>
      </c>
      <c r="L9" s="86">
        <f>Semana1[[#This Row],[Subtotal]]*(1-Semana1[[#This Row],[Desconto]])+Semana1[[#This Row],[Taxa de Entrega]]</f>
        <v>689</v>
      </c>
      <c r="M9" s="86" t="str">
        <f>IF(Semana1[[#This Row],[ID da Venda]]=B10,"",SUMIF(Semana1[ID da Venda],Semana1[[#This Row],[ID da Venda]],Semana1[Total]))</f>
        <v/>
      </c>
    </row>
    <row r="10" spans="2:13" x14ac:dyDescent="0.3">
      <c r="B10" s="84">
        <v>2</v>
      </c>
      <c r="C10" s="85">
        <v>45871</v>
      </c>
      <c r="D10" s="84" t="s">
        <v>69</v>
      </c>
      <c r="E10" s="84" t="str">
        <f>IFERROR(VLOOKUP(Semana1[[#This Row],[Produto]],'Cálculos e Anotações'!$K$5:$N$34,4,0),"")</f>
        <v>Kg</v>
      </c>
      <c r="F10" s="84">
        <v>120</v>
      </c>
      <c r="G10" s="86">
        <f>IFERROR(VLOOKUP(Semana1[[#This Row],[Produto]],'Cálculos e Anotações'!$K$5:$N$34,3,0),0)</f>
        <v>6.3</v>
      </c>
      <c r="H10" s="86">
        <f>Semana1[[#This Row],[Quantidade]]*Semana1[[#This Row],[Preço Unitário]]</f>
        <v>756</v>
      </c>
      <c r="I10" s="87">
        <v>0.08</v>
      </c>
      <c r="J10" s="84" t="s">
        <v>154</v>
      </c>
      <c r="K10" s="86">
        <f>IFERROR(IF(Semana1[[#This Row],[ID da Venda]]=B11,0,VLOOKUP(Semana1[[#This Row],[Entrega]],'Cálculos e Anotações'!$C$37:$D$41,2,FALSE)),0)</f>
        <v>0</v>
      </c>
      <c r="L10" s="86">
        <f>Semana1[[#This Row],[Subtotal]]*(1-Semana1[[#This Row],[Desconto]])+Semana1[[#This Row],[Taxa de Entrega]]</f>
        <v>695.52</v>
      </c>
      <c r="M10" s="86" t="str">
        <f>IF(Semana1[[#This Row],[ID da Venda]]=B11,"",SUMIF(Semana1[ID da Venda],Semana1[[#This Row],[ID da Venda]],Semana1[Total]))</f>
        <v/>
      </c>
    </row>
    <row r="11" spans="2:13" x14ac:dyDescent="0.3">
      <c r="B11" s="84">
        <v>2</v>
      </c>
      <c r="C11" s="85">
        <v>45871</v>
      </c>
      <c r="D11" s="84" t="s">
        <v>96</v>
      </c>
      <c r="E11" s="84" t="str">
        <f>IFERROR(VLOOKUP(Semana1[[#This Row],[Produto]],'Cálculos e Anotações'!$K$5:$N$34,4,0),"")</f>
        <v>Unidade</v>
      </c>
      <c r="F11" s="84">
        <v>160</v>
      </c>
      <c r="G11" s="86">
        <f>IFERROR(VLOOKUP(Semana1[[#This Row],[Produto]],'Cálculos e Anotações'!$K$5:$N$34,3,0),0)</f>
        <v>3.15</v>
      </c>
      <c r="H11" s="86">
        <f>Semana1[[#This Row],[Quantidade]]*Semana1[[#This Row],[Preço Unitário]]</f>
        <v>504</v>
      </c>
      <c r="I11" s="87"/>
      <c r="J11" s="84" t="s">
        <v>154</v>
      </c>
      <c r="K11" s="86">
        <f>IFERROR(IF(Semana1[[#This Row],[ID da Venda]]=B12,0,VLOOKUP(Semana1[[#This Row],[Entrega]],'Cálculos e Anotações'!$C$37:$D$41,2,FALSE)),0)</f>
        <v>0</v>
      </c>
      <c r="L11" s="86">
        <f>Semana1[[#This Row],[Subtotal]]*(1-Semana1[[#This Row],[Desconto]])+Semana1[[#This Row],[Taxa de Entrega]]</f>
        <v>504</v>
      </c>
      <c r="M11" s="86" t="str">
        <f>IF(Semana1[[#This Row],[ID da Venda]]=B12,"",SUMIF(Semana1[ID da Venda],Semana1[[#This Row],[ID da Venda]],Semana1[Total]))</f>
        <v/>
      </c>
    </row>
    <row r="12" spans="2:13" x14ac:dyDescent="0.3">
      <c r="B12" s="84">
        <v>2</v>
      </c>
      <c r="C12" s="85">
        <v>45871</v>
      </c>
      <c r="D12" s="84" t="s">
        <v>100</v>
      </c>
      <c r="E12" s="84" t="str">
        <f>IFERROR(VLOOKUP(Semana1[[#This Row],[Produto]],'Cálculos e Anotações'!$K$5:$N$34,4,0),"")</f>
        <v>Kg</v>
      </c>
      <c r="F12" s="84">
        <v>200</v>
      </c>
      <c r="G12" s="86">
        <f>IFERROR(VLOOKUP(Semana1[[#This Row],[Produto]],'Cálculos e Anotações'!$K$5:$N$34,3,0),0)</f>
        <v>32</v>
      </c>
      <c r="H12" s="86">
        <f>Semana1[[#This Row],[Quantidade]]*Semana1[[#This Row],[Preço Unitário]]</f>
        <v>6400</v>
      </c>
      <c r="I12" s="87">
        <v>0.05</v>
      </c>
      <c r="J12" s="84" t="s">
        <v>154</v>
      </c>
      <c r="K12" s="86">
        <f>IFERROR(IF(Semana1[[#This Row],[ID da Venda]]=B13,0,VLOOKUP(Semana1[[#This Row],[Entrega]],'Cálculos e Anotações'!$C$37:$D$41,2,FALSE)),0)</f>
        <v>0</v>
      </c>
      <c r="L12" s="86">
        <f>Semana1[[#This Row],[Subtotal]]*(1-Semana1[[#This Row],[Desconto]])+Semana1[[#This Row],[Taxa de Entrega]]</f>
        <v>6080</v>
      </c>
      <c r="M12" s="86" t="str">
        <f>IF(Semana1[[#This Row],[ID da Venda]]=B13,"",SUMIF(Semana1[ID da Venda],Semana1[[#This Row],[ID da Venda]],Semana1[Total]))</f>
        <v/>
      </c>
    </row>
    <row r="13" spans="2:13" x14ac:dyDescent="0.3">
      <c r="B13" s="84">
        <v>2</v>
      </c>
      <c r="C13" s="85">
        <v>45871</v>
      </c>
      <c r="D13" s="84" t="s">
        <v>102</v>
      </c>
      <c r="E13" s="84" t="str">
        <f>IFERROR(VLOOKUP(Semana1[[#This Row],[Produto]],'Cálculos e Anotações'!$K$5:$N$34,4,0),"")</f>
        <v>Litro</v>
      </c>
      <c r="F13" s="84">
        <v>140</v>
      </c>
      <c r="G13" s="86">
        <f>IFERROR(VLOOKUP(Semana1[[#This Row],[Produto]],'Cálculos e Anotações'!$K$5:$N$34,3,0),0)</f>
        <v>3.8</v>
      </c>
      <c r="H13" s="86">
        <f>Semana1[[#This Row],[Quantidade]]*Semana1[[#This Row],[Preço Unitário]]</f>
        <v>532</v>
      </c>
      <c r="I13" s="87"/>
      <c r="J13" s="84" t="s">
        <v>154</v>
      </c>
      <c r="K13" s="86">
        <f>IFERROR(IF(Semana1[[#This Row],[ID da Venda]]=B14,0,VLOOKUP(Semana1[[#This Row],[Entrega]],'Cálculos e Anotações'!$C$37:$D$41,2,FALSE)),0)</f>
        <v>0</v>
      </c>
      <c r="L13" s="86">
        <f>Semana1[[#This Row],[Subtotal]]*(1-Semana1[[#This Row],[Desconto]])+Semana1[[#This Row],[Taxa de Entrega]]</f>
        <v>532</v>
      </c>
      <c r="M13" s="86" t="str">
        <f>IF(Semana1[[#This Row],[ID da Venda]]=B14,"",SUMIF(Semana1[ID da Venda],Semana1[[#This Row],[ID da Venda]],Semana1[Total]))</f>
        <v/>
      </c>
    </row>
    <row r="14" spans="2:13" x14ac:dyDescent="0.3">
      <c r="B14" s="84">
        <v>2</v>
      </c>
      <c r="C14" s="85">
        <v>45871</v>
      </c>
      <c r="D14" s="84" t="s">
        <v>92</v>
      </c>
      <c r="E14" s="84" t="str">
        <f>IFERROR(VLOOKUP(Semana1[[#This Row],[Produto]],'Cálculos e Anotações'!$K$5:$N$34,4,0),"")</f>
        <v>Kg</v>
      </c>
      <c r="F14" s="84">
        <v>300</v>
      </c>
      <c r="G14" s="86">
        <f>IFERROR(VLOOKUP(Semana1[[#This Row],[Produto]],'Cálculos e Anotações'!$K$5:$N$34,3,0),0)</f>
        <v>9.9</v>
      </c>
      <c r="H14" s="86">
        <f>Semana1[[#This Row],[Quantidade]]*Semana1[[#This Row],[Preço Unitário]]</f>
        <v>2970</v>
      </c>
      <c r="I14" s="87"/>
      <c r="J14" s="84" t="s">
        <v>154</v>
      </c>
      <c r="K14" s="86">
        <f>IFERROR(IF(Semana1[[#This Row],[ID da Venda]]=B15,0,VLOOKUP(Semana1[[#This Row],[Entrega]],'Cálculos e Anotações'!$C$37:$D$41,2,FALSE)),0)</f>
        <v>190</v>
      </c>
      <c r="L14" s="86">
        <f>Semana1[[#This Row],[Subtotal]]*(1-Semana1[[#This Row],[Desconto]])+Semana1[[#This Row],[Taxa de Entrega]]</f>
        <v>3160</v>
      </c>
      <c r="M14" s="86">
        <f>IF(Semana1[[#This Row],[ID da Venda]]=B15,"",SUMIF(Semana1[ID da Venda],Semana1[[#This Row],[ID da Venda]],Semana1[Total]))</f>
        <v>11660.52</v>
      </c>
    </row>
    <row r="15" spans="2:13" x14ac:dyDescent="0.3">
      <c r="B15" s="84">
        <v>1</v>
      </c>
      <c r="C15" s="85">
        <v>45870</v>
      </c>
      <c r="D15" s="84" t="s">
        <v>103</v>
      </c>
      <c r="E15" s="84" t="str">
        <f>IFERROR(VLOOKUP(Semana1[[#This Row],[Produto]],'Cálculos e Anotações'!$K$5:$N$34,4,0),"")</f>
        <v>Garrafa</v>
      </c>
      <c r="F15" s="84">
        <v>100</v>
      </c>
      <c r="G15" s="86">
        <f>IFERROR(VLOOKUP(Semana1[[#This Row],[Produto]],'Cálculos e Anotações'!$K$5:$N$34,3,0),0)</f>
        <v>33.5</v>
      </c>
      <c r="H15" s="86">
        <f>Semana1[[#This Row],[Quantidade]]*Semana1[[#This Row],[Preço Unitário]]</f>
        <v>3350</v>
      </c>
      <c r="I15" s="87"/>
      <c r="J15" s="84" t="s">
        <v>156</v>
      </c>
      <c r="K15" s="86">
        <f>IFERROR(IF(Semana1[[#This Row],[ID da Venda]]=B16,0,VLOOKUP(Semana1[[#This Row],[Entrega]],'Cálculos e Anotações'!$C$37:$D$41,2,FALSE)),0)</f>
        <v>0</v>
      </c>
      <c r="L15" s="86">
        <f>Semana1[[#This Row],[Subtotal]]*(1-Semana1[[#This Row],[Desconto]])+Semana1[[#This Row],[Taxa de Entrega]]</f>
        <v>3350</v>
      </c>
      <c r="M15" s="86" t="str">
        <f>IF(Semana1[[#This Row],[ID da Venda]]=B16,"",SUMIF(Semana1[ID da Venda],Semana1[[#This Row],[ID da Venda]],Semana1[Total]))</f>
        <v/>
      </c>
    </row>
    <row r="16" spans="2:13" x14ac:dyDescent="0.3">
      <c r="B16" s="84">
        <v>1</v>
      </c>
      <c r="C16" s="85">
        <v>45870</v>
      </c>
      <c r="D16" s="84" t="s">
        <v>72</v>
      </c>
      <c r="E16" s="84" t="str">
        <f>IFERROR(VLOOKUP(Semana1[[#This Row],[Produto]],'Cálculos e Anotações'!$K$5:$N$34,4,0),"")</f>
        <v>Kg</v>
      </c>
      <c r="F16" s="84">
        <v>255</v>
      </c>
      <c r="G16" s="86">
        <f>IFERROR(VLOOKUP(Semana1[[#This Row],[Produto]],'Cálculos e Anotações'!$K$5:$N$34,3,0),0)</f>
        <v>30.9</v>
      </c>
      <c r="H16" s="86">
        <f>Semana1[[#This Row],[Quantidade]]*Semana1[[#This Row],[Preço Unitário]]</f>
        <v>7879.5</v>
      </c>
      <c r="I16" s="87">
        <v>0.1</v>
      </c>
      <c r="J16" s="84" t="s">
        <v>156</v>
      </c>
      <c r="K16" s="86">
        <f>IFERROR(IF(Semana1[[#This Row],[ID da Venda]]=B17,0,VLOOKUP(Semana1[[#This Row],[Entrega]],'Cálculos e Anotações'!$C$37:$D$41,2,FALSE)),0)</f>
        <v>0</v>
      </c>
      <c r="L16" s="86">
        <f>Semana1[[#This Row],[Subtotal]]*(1-Semana1[[#This Row],[Desconto]])+Semana1[[#This Row],[Taxa de Entrega]]</f>
        <v>7091.55</v>
      </c>
      <c r="M16" s="86" t="str">
        <f>IF(Semana1[[#This Row],[ID da Venda]]=B17,"",SUMIF(Semana1[ID da Venda],Semana1[[#This Row],[ID da Venda]],Semana1[Total]))</f>
        <v/>
      </c>
    </row>
    <row r="17" spans="2:17" x14ac:dyDescent="0.3">
      <c r="B17" s="84">
        <v>1</v>
      </c>
      <c r="C17" s="85">
        <v>45870</v>
      </c>
      <c r="D17" s="84" t="s">
        <v>74</v>
      </c>
      <c r="E17" s="84" t="str">
        <f>IFERROR(VLOOKUP(Semana1[[#This Row],[Produto]],'Cálculos e Anotações'!$K$5:$N$34,4,0),"")</f>
        <v>Lata</v>
      </c>
      <c r="F17" s="84">
        <v>240</v>
      </c>
      <c r="G17" s="86">
        <f>IFERROR(VLOOKUP(Semana1[[#This Row],[Produto]],'Cálculos e Anotações'!$K$5:$N$34,3,0),0)</f>
        <v>2.75</v>
      </c>
      <c r="H17" s="86">
        <f>Semana1[[#This Row],[Quantidade]]*Semana1[[#This Row],[Preço Unitário]]</f>
        <v>660</v>
      </c>
      <c r="I17" s="87"/>
      <c r="J17" s="84" t="s">
        <v>156</v>
      </c>
      <c r="K17" s="86">
        <f>IFERROR(IF(Semana1[[#This Row],[ID da Venda]]=B18,0,VLOOKUP(Semana1[[#This Row],[Entrega]],'Cálculos e Anotações'!$C$37:$D$41,2,FALSE)),0)</f>
        <v>0</v>
      </c>
      <c r="L17" s="86">
        <f>Semana1[[#This Row],[Subtotal]]*(1-Semana1[[#This Row],[Desconto]])+Semana1[[#This Row],[Taxa de Entrega]]</f>
        <v>660</v>
      </c>
      <c r="M17" s="86" t="str">
        <f>IF(Semana1[[#This Row],[ID da Venda]]=B18,"",SUMIF(Semana1[ID da Venda],Semana1[[#This Row],[ID da Venda]],Semana1[Total]))</f>
        <v/>
      </c>
    </row>
    <row r="18" spans="2:17" x14ac:dyDescent="0.3">
      <c r="B18" s="84">
        <v>1</v>
      </c>
      <c r="C18" s="85">
        <v>45870</v>
      </c>
      <c r="D18" s="84" t="s">
        <v>89</v>
      </c>
      <c r="E18" s="84" t="str">
        <f>IFERROR(VLOOKUP(Semana1[[#This Row],[Produto]],'Cálculos e Anotações'!$K$5:$N$34,4,0),"")</f>
        <v>Unidade</v>
      </c>
      <c r="F18" s="84">
        <v>96</v>
      </c>
      <c r="G18" s="86">
        <f>IFERROR(VLOOKUP(Semana1[[#This Row],[Produto]],'Cálculos e Anotações'!$K$5:$N$34,3,0),0)</f>
        <v>2.8</v>
      </c>
      <c r="H18" s="86">
        <f>Semana1[[#This Row],[Quantidade]]*Semana1[[#This Row],[Preço Unitário]]</f>
        <v>268.79999999999995</v>
      </c>
      <c r="I18" s="87"/>
      <c r="J18" s="84" t="s">
        <v>156</v>
      </c>
      <c r="K18" s="86">
        <f>IFERROR(IF(Semana1[[#This Row],[ID da Venda]]=B19,0,VLOOKUP(Semana1[[#This Row],[Entrega]],'Cálculos e Anotações'!$C$37:$D$41,2,FALSE)),0)</f>
        <v>0</v>
      </c>
      <c r="L18" s="86">
        <f>Semana1[[#This Row],[Subtotal]]*(1-Semana1[[#This Row],[Desconto]])+Semana1[[#This Row],[Taxa de Entrega]]</f>
        <v>268.79999999999995</v>
      </c>
      <c r="M18" s="86" t="str">
        <f>IF(Semana1[[#This Row],[ID da Venda]]=B19,"",SUMIF(Semana1[ID da Venda],Semana1[[#This Row],[ID da Venda]],Semana1[Total]))</f>
        <v/>
      </c>
    </row>
    <row r="19" spans="2:17" x14ac:dyDescent="0.3">
      <c r="B19" s="84">
        <v>1</v>
      </c>
      <c r="C19" s="85">
        <v>45870</v>
      </c>
      <c r="D19" s="84" t="s">
        <v>86</v>
      </c>
      <c r="E19" s="84" t="str">
        <f>IFERROR(VLOOKUP(Semana1[[#This Row],[Produto]],'Cálculos e Anotações'!$K$5:$N$34,4,0),"")</f>
        <v>Barra</v>
      </c>
      <c r="F19" s="84">
        <v>100</v>
      </c>
      <c r="G19" s="86">
        <f>IFERROR(VLOOKUP(Semana1[[#This Row],[Produto]],'Cálculos e Anotações'!$K$5:$N$34,3,0),0)</f>
        <v>5.45</v>
      </c>
      <c r="H19" s="86">
        <f>Semana1[[#This Row],[Quantidade]]*Semana1[[#This Row],[Preço Unitário]]</f>
        <v>545</v>
      </c>
      <c r="I19" s="87"/>
      <c r="J19" s="84" t="s">
        <v>156</v>
      </c>
      <c r="K19" s="86">
        <f>IFERROR(IF(Semana1[[#This Row],[ID da Venda]]=B20,0,VLOOKUP(Semana1[[#This Row],[Entrega]],'Cálculos e Anotações'!$C$37:$D$41,2,FALSE)),0)</f>
        <v>150</v>
      </c>
      <c r="L19" s="86">
        <f>Semana1[[#This Row],[Subtotal]]*(1-Semana1[[#This Row],[Desconto]])+Semana1[[#This Row],[Taxa de Entrega]]</f>
        <v>695</v>
      </c>
      <c r="M19" s="86">
        <f>IF(Semana1[[#This Row],[ID da Venda]]=B20,"",SUMIF(Semana1[ID da Venda],Semana1[[#This Row],[ID da Venda]],Semana1[Total]))</f>
        <v>12065.349999999999</v>
      </c>
    </row>
    <row r="22" spans="2:17" ht="24" thickBot="1" x14ac:dyDescent="0.5">
      <c r="B22" s="29" t="s">
        <v>164</v>
      </c>
      <c r="C22" s="29"/>
      <c r="D22" s="29"/>
      <c r="E22" s="30"/>
      <c r="F22" s="29"/>
      <c r="G22" s="29"/>
      <c r="H22" s="29"/>
      <c r="I22" s="30"/>
      <c r="J22" s="29"/>
      <c r="K22" s="29"/>
      <c r="L22" s="29"/>
      <c r="M22" s="30">
        <f>SUM(Semana1[Total])</f>
        <v>30971.05</v>
      </c>
    </row>
    <row r="23" spans="2:17" ht="24" thickBot="1" x14ac:dyDescent="0.5">
      <c r="B23" s="31" t="s">
        <v>165</v>
      </c>
      <c r="C23" s="31"/>
      <c r="D23" s="31"/>
      <c r="E23" s="32"/>
      <c r="F23" s="31"/>
      <c r="G23" s="31"/>
      <c r="H23" s="31"/>
      <c r="I23" s="32"/>
      <c r="J23" s="31"/>
      <c r="K23" s="31"/>
      <c r="L23" s="31"/>
      <c r="M23" s="32">
        <f>SUM(Semana1[Taxa de Entrega])</f>
        <v>440</v>
      </c>
    </row>
    <row r="24" spans="2:17" ht="23.4" x14ac:dyDescent="0.45">
      <c r="B24" s="31" t="s">
        <v>151</v>
      </c>
      <c r="C24" s="31"/>
      <c r="D24" s="31"/>
      <c r="E24" s="32"/>
      <c r="F24" s="31"/>
      <c r="G24" s="31"/>
      <c r="H24" s="31"/>
      <c r="I24" s="32"/>
      <c r="J24" s="31"/>
      <c r="K24" s="31"/>
      <c r="L24" s="31"/>
      <c r="M24" s="57" cm="1">
        <f t="array" ref="M24">SUM(IF(FREQUENCY(Semana1[ID da Venda],Semana1[ID da Venda])&gt;0,1,0))</f>
        <v>4</v>
      </c>
    </row>
    <row r="28" spans="2:17" x14ac:dyDescent="0.3">
      <c r="Q28">
        <f>SUM(Semana1[Quantidade])</f>
        <v>2416</v>
      </c>
    </row>
  </sheetData>
  <phoneticPr fontId="8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5D3A5D-EEF6-487F-A504-84D4646C1E4E}">
          <x14:formula1>
            <xm:f>'Cálculos e Anotações'!$K$5:$K$34</xm:f>
          </x14:formula1>
          <xm:sqref>D5:D19</xm:sqref>
        </x14:dataValidation>
        <x14:dataValidation type="list" allowBlank="1" showInputMessage="1" showErrorMessage="1" xr:uid="{993D0A99-570A-43D1-A722-DC287FA8EA89}">
          <x14:formula1>
            <xm:f>'Cálculos e Anotações'!$C$37:$C$41</xm:f>
          </x14:formula1>
          <xm:sqref>J5:J19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8E9F2-96B1-4658-8E81-354F9B6D3158}">
  <dimension ref="B2:E71"/>
  <sheetViews>
    <sheetView showGridLines="0" zoomScale="85" zoomScaleNormal="85" workbookViewId="0">
      <selection activeCell="L78" sqref="L78"/>
    </sheetView>
  </sheetViews>
  <sheetFormatPr defaultRowHeight="14.4" x14ac:dyDescent="0.3"/>
  <cols>
    <col min="1" max="1" width="18.6640625" bestFit="1" customWidth="1"/>
    <col min="2" max="2" width="20.6640625" bestFit="1" customWidth="1"/>
    <col min="3" max="3" width="20.88671875" bestFit="1" customWidth="1"/>
    <col min="4" max="4" width="24.6640625" bestFit="1" customWidth="1"/>
    <col min="5" max="5" width="15" bestFit="1" customWidth="1"/>
    <col min="6" max="6" width="17.33203125" bestFit="1" customWidth="1"/>
    <col min="7" max="7" width="18.44140625" bestFit="1" customWidth="1"/>
    <col min="8" max="8" width="18.88671875" bestFit="1" customWidth="1"/>
    <col min="9" max="9" width="22.44140625" bestFit="1" customWidth="1"/>
    <col min="10" max="10" width="13.109375" bestFit="1" customWidth="1"/>
  </cols>
  <sheetData>
    <row r="2" spans="2:4" x14ac:dyDescent="0.3">
      <c r="D2" s="98" t="s">
        <v>166</v>
      </c>
    </row>
    <row r="4" spans="2:4" ht="15.6" x14ac:dyDescent="0.3">
      <c r="B4" s="93" t="s">
        <v>167</v>
      </c>
      <c r="C4" s="79" t="s">
        <v>168</v>
      </c>
      <c r="D4" s="79" t="s">
        <v>169</v>
      </c>
    </row>
    <row r="5" spans="2:4" ht="15.6" x14ac:dyDescent="0.3">
      <c r="B5" s="96">
        <v>45872</v>
      </c>
      <c r="C5" s="79">
        <v>445</v>
      </c>
      <c r="D5" s="95">
        <v>7245.18</v>
      </c>
    </row>
    <row r="6" spans="2:4" ht="15.6" x14ac:dyDescent="0.3">
      <c r="B6" s="97" t="s">
        <v>78</v>
      </c>
      <c r="C6" s="79">
        <v>220</v>
      </c>
      <c r="D6" s="95">
        <v>1184.3799999999999</v>
      </c>
    </row>
    <row r="7" spans="2:4" ht="15.6" x14ac:dyDescent="0.3">
      <c r="B7" s="97" t="s">
        <v>72</v>
      </c>
      <c r="C7" s="79">
        <v>190</v>
      </c>
      <c r="D7" s="95">
        <v>5871</v>
      </c>
    </row>
    <row r="8" spans="2:4" ht="15.6" x14ac:dyDescent="0.3">
      <c r="B8" s="97" t="s">
        <v>94</v>
      </c>
      <c r="C8" s="79">
        <v>20</v>
      </c>
      <c r="D8" s="95">
        <v>87.8</v>
      </c>
    </row>
    <row r="9" spans="2:4" ht="15.6" x14ac:dyDescent="0.3">
      <c r="B9" s="97" t="s">
        <v>90</v>
      </c>
      <c r="C9" s="79">
        <v>15</v>
      </c>
      <c r="D9" s="95">
        <v>102</v>
      </c>
    </row>
    <row r="10" spans="2:4" ht="15.6" x14ac:dyDescent="0.3">
      <c r="B10" s="96">
        <v>45871</v>
      </c>
      <c r="C10" s="79">
        <v>1180</v>
      </c>
      <c r="D10" s="95">
        <v>11660.52</v>
      </c>
    </row>
    <row r="11" spans="2:4" ht="15.6" x14ac:dyDescent="0.3">
      <c r="B11" s="97" t="s">
        <v>96</v>
      </c>
      <c r="C11" s="79">
        <v>160</v>
      </c>
      <c r="D11" s="95">
        <v>504</v>
      </c>
    </row>
    <row r="12" spans="2:4" ht="15.6" x14ac:dyDescent="0.3">
      <c r="B12" s="97" t="s">
        <v>100</v>
      </c>
      <c r="C12" s="79">
        <v>200</v>
      </c>
      <c r="D12" s="95">
        <v>6080</v>
      </c>
    </row>
    <row r="13" spans="2:4" ht="15.6" x14ac:dyDescent="0.3">
      <c r="B13" s="97" t="s">
        <v>101</v>
      </c>
      <c r="C13" s="79">
        <v>260</v>
      </c>
      <c r="D13" s="95">
        <v>689</v>
      </c>
    </row>
    <row r="14" spans="2:4" ht="15.6" x14ac:dyDescent="0.3">
      <c r="B14" s="97" t="s">
        <v>69</v>
      </c>
      <c r="C14" s="79">
        <v>120</v>
      </c>
      <c r="D14" s="95">
        <v>695.52</v>
      </c>
    </row>
    <row r="15" spans="2:4" ht="15.6" x14ac:dyDescent="0.3">
      <c r="B15" s="97" t="s">
        <v>102</v>
      </c>
      <c r="C15" s="79">
        <v>140</v>
      </c>
      <c r="D15" s="95">
        <v>532</v>
      </c>
    </row>
    <row r="16" spans="2:4" ht="15.6" x14ac:dyDescent="0.3">
      <c r="B16" s="97" t="s">
        <v>92</v>
      </c>
      <c r="C16" s="79">
        <v>300</v>
      </c>
      <c r="D16" s="95">
        <v>3160</v>
      </c>
    </row>
    <row r="17" spans="2:4" ht="15.6" x14ac:dyDescent="0.3">
      <c r="B17" s="96">
        <v>45870</v>
      </c>
      <c r="C17" s="79">
        <v>791</v>
      </c>
      <c r="D17" s="95">
        <v>12065.349999999999</v>
      </c>
    </row>
    <row r="18" spans="2:4" ht="15.6" x14ac:dyDescent="0.3">
      <c r="B18" s="97" t="s">
        <v>72</v>
      </c>
      <c r="C18" s="79">
        <v>255</v>
      </c>
      <c r="D18" s="95">
        <v>7091.55</v>
      </c>
    </row>
    <row r="19" spans="2:4" ht="15.6" x14ac:dyDescent="0.3">
      <c r="B19" s="97" t="s">
        <v>74</v>
      </c>
      <c r="C19" s="79">
        <v>240</v>
      </c>
      <c r="D19" s="95">
        <v>660</v>
      </c>
    </row>
    <row r="20" spans="2:4" ht="15.6" x14ac:dyDescent="0.3">
      <c r="B20" s="97" t="s">
        <v>86</v>
      </c>
      <c r="C20" s="79">
        <v>100</v>
      </c>
      <c r="D20" s="95">
        <v>695</v>
      </c>
    </row>
    <row r="21" spans="2:4" ht="15.6" x14ac:dyDescent="0.3">
      <c r="B21" s="97" t="s">
        <v>103</v>
      </c>
      <c r="C21" s="79">
        <v>100</v>
      </c>
      <c r="D21" s="95">
        <v>3350</v>
      </c>
    </row>
    <row r="22" spans="2:4" ht="15.6" x14ac:dyDescent="0.3">
      <c r="B22" s="97" t="s">
        <v>89</v>
      </c>
      <c r="C22" s="79">
        <v>96</v>
      </c>
      <c r="D22" s="95">
        <v>268.79999999999995</v>
      </c>
    </row>
    <row r="23" spans="2:4" ht="15.6" x14ac:dyDescent="0.3">
      <c r="B23" s="96" t="s">
        <v>170</v>
      </c>
      <c r="C23" s="79">
        <v>2416</v>
      </c>
      <c r="D23" s="95">
        <v>30971.05</v>
      </c>
    </row>
    <row r="51" spans="2:5" ht="15.6" x14ac:dyDescent="0.3">
      <c r="B51" s="93" t="s">
        <v>171</v>
      </c>
      <c r="C51" s="79" t="s">
        <v>168</v>
      </c>
      <c r="D51" s="79" t="s">
        <v>172</v>
      </c>
      <c r="E51" s="79" t="s">
        <v>169</v>
      </c>
    </row>
    <row r="52" spans="2:5" ht="15.6" x14ac:dyDescent="0.3">
      <c r="B52" s="94" t="s">
        <v>152</v>
      </c>
      <c r="C52" s="79">
        <v>35</v>
      </c>
      <c r="D52" s="95">
        <v>0</v>
      </c>
      <c r="E52" s="95">
        <v>189.8</v>
      </c>
    </row>
    <row r="53" spans="2:5" ht="15.6" x14ac:dyDescent="0.3">
      <c r="B53" s="97" t="s">
        <v>90</v>
      </c>
      <c r="C53" s="79">
        <v>15</v>
      </c>
      <c r="D53" s="95">
        <v>0</v>
      </c>
      <c r="E53" s="95">
        <v>102</v>
      </c>
    </row>
    <row r="54" spans="2:5" ht="15.6" x14ac:dyDescent="0.3">
      <c r="B54" s="97" t="s">
        <v>94</v>
      </c>
      <c r="C54" s="79">
        <v>20</v>
      </c>
      <c r="D54" s="95">
        <v>0</v>
      </c>
      <c r="E54" s="95">
        <v>87.8</v>
      </c>
    </row>
    <row r="55" spans="2:5" ht="15.6" x14ac:dyDescent="0.3">
      <c r="B55" s="94" t="s">
        <v>154</v>
      </c>
      <c r="C55" s="79">
        <v>1180</v>
      </c>
      <c r="D55" s="95">
        <v>190</v>
      </c>
      <c r="E55" s="95">
        <v>11660.52</v>
      </c>
    </row>
    <row r="56" spans="2:5" ht="15.6" x14ac:dyDescent="0.3">
      <c r="B56" s="97" t="s">
        <v>96</v>
      </c>
      <c r="C56" s="79">
        <v>160</v>
      </c>
      <c r="D56" s="95">
        <v>0</v>
      </c>
      <c r="E56" s="95">
        <v>504</v>
      </c>
    </row>
    <row r="57" spans="2:5" ht="15.6" x14ac:dyDescent="0.3">
      <c r="B57" s="97" t="s">
        <v>100</v>
      </c>
      <c r="C57" s="79">
        <v>200</v>
      </c>
      <c r="D57" s="95">
        <v>0</v>
      </c>
      <c r="E57" s="95">
        <v>6080</v>
      </c>
    </row>
    <row r="58" spans="2:5" ht="15.6" x14ac:dyDescent="0.3">
      <c r="B58" s="97" t="s">
        <v>101</v>
      </c>
      <c r="C58" s="79">
        <v>260</v>
      </c>
      <c r="D58" s="95">
        <v>0</v>
      </c>
      <c r="E58" s="95">
        <v>689</v>
      </c>
    </row>
    <row r="59" spans="2:5" ht="15.6" x14ac:dyDescent="0.3">
      <c r="B59" s="97" t="s">
        <v>69</v>
      </c>
      <c r="C59" s="79">
        <v>120</v>
      </c>
      <c r="D59" s="95">
        <v>0</v>
      </c>
      <c r="E59" s="95">
        <v>695.52</v>
      </c>
    </row>
    <row r="60" spans="2:5" ht="15.6" x14ac:dyDescent="0.3">
      <c r="B60" s="97" t="s">
        <v>102</v>
      </c>
      <c r="C60" s="79">
        <v>140</v>
      </c>
      <c r="D60" s="95">
        <v>0</v>
      </c>
      <c r="E60" s="95">
        <v>532</v>
      </c>
    </row>
    <row r="61" spans="2:5" ht="15.6" x14ac:dyDescent="0.3">
      <c r="B61" s="97" t="s">
        <v>92</v>
      </c>
      <c r="C61" s="79">
        <v>300</v>
      </c>
      <c r="D61" s="95">
        <v>190</v>
      </c>
      <c r="E61" s="95">
        <v>3160</v>
      </c>
    </row>
    <row r="62" spans="2:5" ht="15.6" x14ac:dyDescent="0.3">
      <c r="B62" s="94" t="s">
        <v>156</v>
      </c>
      <c r="C62" s="79">
        <v>791</v>
      </c>
      <c r="D62" s="95">
        <v>150</v>
      </c>
      <c r="E62" s="95">
        <v>12065.349999999999</v>
      </c>
    </row>
    <row r="63" spans="2:5" ht="15.6" x14ac:dyDescent="0.3">
      <c r="B63" s="97" t="s">
        <v>72</v>
      </c>
      <c r="C63" s="79">
        <v>255</v>
      </c>
      <c r="D63" s="95">
        <v>0</v>
      </c>
      <c r="E63" s="95">
        <v>7091.55</v>
      </c>
    </row>
    <row r="64" spans="2:5" ht="15.6" x14ac:dyDescent="0.3">
      <c r="B64" s="97" t="s">
        <v>74</v>
      </c>
      <c r="C64" s="79">
        <v>240</v>
      </c>
      <c r="D64" s="95">
        <v>0</v>
      </c>
      <c r="E64" s="95">
        <v>660</v>
      </c>
    </row>
    <row r="65" spans="2:5" ht="15.6" x14ac:dyDescent="0.3">
      <c r="B65" s="97" t="s">
        <v>103</v>
      </c>
      <c r="C65" s="79">
        <v>100</v>
      </c>
      <c r="D65" s="95">
        <v>0</v>
      </c>
      <c r="E65" s="95">
        <v>3350</v>
      </c>
    </row>
    <row r="66" spans="2:5" ht="15.6" x14ac:dyDescent="0.3">
      <c r="B66" s="97" t="s">
        <v>89</v>
      </c>
      <c r="C66" s="79">
        <v>96</v>
      </c>
      <c r="D66" s="95">
        <v>0</v>
      </c>
      <c r="E66" s="95">
        <v>268.79999999999995</v>
      </c>
    </row>
    <row r="67" spans="2:5" ht="15.6" x14ac:dyDescent="0.3">
      <c r="B67" s="97" t="s">
        <v>86</v>
      </c>
      <c r="C67" s="79">
        <v>100</v>
      </c>
      <c r="D67" s="95">
        <v>150</v>
      </c>
      <c r="E67" s="95">
        <v>695</v>
      </c>
    </row>
    <row r="68" spans="2:5" ht="15.6" x14ac:dyDescent="0.3">
      <c r="B68" s="94" t="s">
        <v>153</v>
      </c>
      <c r="C68" s="79">
        <v>410</v>
      </c>
      <c r="D68" s="95">
        <v>100</v>
      </c>
      <c r="E68" s="95">
        <v>7055.38</v>
      </c>
    </row>
    <row r="69" spans="2:5" ht="15.6" x14ac:dyDescent="0.3">
      <c r="B69" s="97" t="s">
        <v>78</v>
      </c>
      <c r="C69" s="79">
        <v>220</v>
      </c>
      <c r="D69" s="95">
        <v>100</v>
      </c>
      <c r="E69" s="95">
        <v>1184.3799999999999</v>
      </c>
    </row>
    <row r="70" spans="2:5" ht="15.6" x14ac:dyDescent="0.3">
      <c r="B70" s="97" t="s">
        <v>72</v>
      </c>
      <c r="C70" s="79">
        <v>190</v>
      </c>
      <c r="D70" s="95">
        <v>0</v>
      </c>
      <c r="E70" s="95">
        <v>5871</v>
      </c>
    </row>
    <row r="71" spans="2:5" ht="15.6" x14ac:dyDescent="0.3">
      <c r="B71" s="94" t="s">
        <v>170</v>
      </c>
      <c r="C71" s="79">
        <v>2416</v>
      </c>
      <c r="D71" s="95">
        <v>440</v>
      </c>
      <c r="E71" s="95">
        <v>30971.05</v>
      </c>
    </row>
  </sheetData>
  <pageMargins left="0.511811024" right="0.511811024" top="0.78740157499999996" bottom="0.78740157499999996" header="0.31496062000000002" footer="0.3149606200000000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5D8D2-FAC2-49B5-B575-D9415123E7A0}">
  <sheetPr codeName="Planilha9"/>
  <dimension ref="B2:M34"/>
  <sheetViews>
    <sheetView showGridLines="0" workbookViewId="0">
      <selection activeCell="D4" sqref="D4"/>
    </sheetView>
  </sheetViews>
  <sheetFormatPr defaultRowHeight="14.4" x14ac:dyDescent="0.3"/>
  <cols>
    <col min="1" max="1" width="26.109375" customWidth="1"/>
    <col min="2" max="2" width="14.109375" customWidth="1"/>
    <col min="3" max="3" width="16.6640625" customWidth="1"/>
    <col min="4" max="4" width="15.109375" customWidth="1"/>
    <col min="5" max="5" width="10.44140625" customWidth="1"/>
    <col min="6" max="6" width="15.88671875" customWidth="1"/>
    <col min="7" max="7" width="16.6640625" customWidth="1"/>
    <col min="8" max="8" width="13" customWidth="1"/>
    <col min="9" max="9" width="11.109375" bestFit="1" customWidth="1"/>
    <col min="10" max="10" width="11.6640625" customWidth="1"/>
    <col min="11" max="11" width="17.33203125" bestFit="1" customWidth="1"/>
    <col min="12" max="12" width="14.5546875" customWidth="1"/>
    <col min="13" max="13" width="21.33203125" bestFit="1" customWidth="1"/>
    <col min="14" max="14" width="10.109375" bestFit="1" customWidth="1"/>
  </cols>
  <sheetData>
    <row r="2" spans="2:13" s="26" customFormat="1" ht="28.2" customHeight="1" x14ac:dyDescent="0.4">
      <c r="B2" s="24" t="s">
        <v>173</v>
      </c>
      <c r="C2" s="25"/>
      <c r="D2" s="25"/>
      <c r="E2" s="25"/>
      <c r="F2" s="25"/>
    </row>
    <row r="3" spans="2:13" ht="32.4" customHeight="1" x14ac:dyDescent="0.3"/>
    <row r="4" spans="2:13" x14ac:dyDescent="0.3">
      <c r="B4" t="s">
        <v>158</v>
      </c>
      <c r="C4" t="s">
        <v>23</v>
      </c>
      <c r="D4" t="s">
        <v>117</v>
      </c>
      <c r="E4" t="s">
        <v>63</v>
      </c>
      <c r="F4" t="s">
        <v>64</v>
      </c>
      <c r="G4" t="s">
        <v>65</v>
      </c>
      <c r="H4" t="s">
        <v>159</v>
      </c>
      <c r="I4" t="s">
        <v>66</v>
      </c>
      <c r="J4" t="s">
        <v>160</v>
      </c>
      <c r="K4" t="s">
        <v>161</v>
      </c>
      <c r="L4" t="s">
        <v>162</v>
      </c>
      <c r="M4" t="s">
        <v>163</v>
      </c>
    </row>
    <row r="5" spans="2:13" x14ac:dyDescent="0.3">
      <c r="B5">
        <v>7</v>
      </c>
      <c r="C5" s="6">
        <v>45879</v>
      </c>
      <c r="D5" t="s">
        <v>102</v>
      </c>
      <c r="E5" t="str">
        <f>IFERROR(VLOOKUP(Semana2[[#This Row],[Produto]],'Cálculos e Anotações'!$K$5:$N$34,4,0),"")</f>
        <v>Litro</v>
      </c>
      <c r="F5">
        <v>150</v>
      </c>
      <c r="G5" s="4">
        <f>IFERROR(VLOOKUP(Semana2[[#This Row],[Produto]],'Cálculos e Anotações'!$K$5:$N$34,3,0),0)</f>
        <v>3.8</v>
      </c>
      <c r="H5" s="4">
        <f>Semana2[[#This Row],[Quantidade]]*Semana2[[#This Row],[Preço Unitário]]</f>
        <v>570</v>
      </c>
      <c r="I5" s="5">
        <v>0.14000000000000001</v>
      </c>
      <c r="J5" t="s">
        <v>154</v>
      </c>
      <c r="K5" s="4">
        <f>IFERROR(IF(Semana2[[#This Row],[ID da Venda]]=B6,0,VLOOKUP(Semana2[[#This Row],[Entrega]],'Cálculos e Anotações'!$C$37:$D$41,2,FALSE)),0)</f>
        <v>0</v>
      </c>
      <c r="L5" s="4">
        <f>Semana2[[#This Row],[Subtotal]]*(1-Semana2[[#This Row],[Desconto]])+Semana2[[#This Row],[Taxa de Entrega]]</f>
        <v>490.2</v>
      </c>
      <c r="M5" s="4" t="str">
        <f>IF(Semana2[[#This Row],[ID da Venda]]=B6,"",SUMIF(Semana2[ID da Venda],Semana2[[#This Row],[ID da Venda]],Semana2[Total]))</f>
        <v/>
      </c>
    </row>
    <row r="6" spans="2:13" x14ac:dyDescent="0.3">
      <c r="B6">
        <v>7</v>
      </c>
      <c r="C6" s="6">
        <v>45879</v>
      </c>
      <c r="D6" t="s">
        <v>75</v>
      </c>
      <c r="E6" t="str">
        <f>IFERROR(VLOOKUP(Semana2[[#This Row],[Produto]],'Cálculos e Anotações'!$K$5:$N$34,4,0),"")</f>
        <v>Unidade</v>
      </c>
      <c r="F6">
        <v>300</v>
      </c>
      <c r="G6" s="4">
        <f>IFERROR(VLOOKUP(Semana2[[#This Row],[Produto]],'Cálculos e Anotações'!$K$5:$N$34,3,0),0)</f>
        <v>3.45</v>
      </c>
      <c r="H6" s="4">
        <f>Semana2[[#This Row],[Quantidade]]*Semana2[[#This Row],[Preço Unitário]]</f>
        <v>1035</v>
      </c>
      <c r="I6" s="5"/>
      <c r="J6" t="s">
        <v>154</v>
      </c>
      <c r="K6" s="4">
        <f>IFERROR(IF(Semana2[[#This Row],[ID da Venda]]=B7,0,VLOOKUP(Semana2[[#This Row],[Entrega]],'Cálculos e Anotações'!$C$37:$D$41,2,FALSE)),0)</f>
        <v>190</v>
      </c>
      <c r="L6" s="4">
        <f>Semana2[[#This Row],[Subtotal]]*(1-Semana2[[#This Row],[Desconto]])+Semana2[[#This Row],[Taxa de Entrega]]</f>
        <v>1225</v>
      </c>
      <c r="M6" s="4">
        <f>IF(Semana2[[#This Row],[ID da Venda]]=B7,"",SUMIF(Semana2[ID da Venda],Semana2[[#This Row],[ID da Venda]],Semana2[Total]))</f>
        <v>1715.2</v>
      </c>
    </row>
    <row r="7" spans="2:13" x14ac:dyDescent="0.3">
      <c r="B7">
        <v>6</v>
      </c>
      <c r="C7" s="6">
        <v>45878</v>
      </c>
      <c r="D7" t="s">
        <v>86</v>
      </c>
      <c r="E7" t="str">
        <f>IFERROR(VLOOKUP(Semana2[[#This Row],[Produto]],'Cálculos e Anotações'!$K$5:$N$34,4,0),"")</f>
        <v>Barra</v>
      </c>
      <c r="F7">
        <v>25</v>
      </c>
      <c r="G7" s="4">
        <f>IFERROR(VLOOKUP(Semana2[[#This Row],[Produto]],'Cálculos e Anotações'!$K$5:$N$34,3,0),0)</f>
        <v>5.45</v>
      </c>
      <c r="H7" s="4">
        <f>Semana2[[#This Row],[Quantidade]]*Semana2[[#This Row],[Preço Unitário]]</f>
        <v>136.25</v>
      </c>
      <c r="I7" s="5"/>
      <c r="J7" t="s">
        <v>152</v>
      </c>
      <c r="K7" s="4">
        <f>IFERROR(IF(Semana2[[#This Row],[ID da Venda]]=B8,0,VLOOKUP(Semana2[[#This Row],[Entrega]],'Cálculos e Anotações'!$C$37:$D$41,2,FALSE)),0)</f>
        <v>0</v>
      </c>
      <c r="L7" s="4">
        <f>Semana2[[#This Row],[Subtotal]]*(1-Semana2[[#This Row],[Desconto]])+Semana2[[#This Row],[Taxa de Entrega]]</f>
        <v>136.25</v>
      </c>
      <c r="M7" s="4" t="str">
        <f>IF(Semana2[[#This Row],[ID da Venda]]=B8,"",SUMIF(Semana2[ID da Venda],Semana2[[#This Row],[ID da Venda]],Semana2[Total]))</f>
        <v/>
      </c>
    </row>
    <row r="8" spans="2:13" x14ac:dyDescent="0.3">
      <c r="B8">
        <v>6</v>
      </c>
      <c r="C8" s="6">
        <v>45878</v>
      </c>
      <c r="D8" t="s">
        <v>100</v>
      </c>
      <c r="E8" t="str">
        <f>IFERROR(VLOOKUP(Semana2[[#This Row],[Produto]],'Cálculos e Anotações'!$K$5:$N$34,4,0),"")</f>
        <v>Kg</v>
      </c>
      <c r="F8">
        <v>5</v>
      </c>
      <c r="G8" s="4">
        <f>IFERROR(VLOOKUP(Semana2[[#This Row],[Produto]],'Cálculos e Anotações'!$K$5:$N$34,3,0),0)</f>
        <v>32</v>
      </c>
      <c r="H8" s="4">
        <f>Semana2[[#This Row],[Quantidade]]*Semana2[[#This Row],[Preço Unitário]]</f>
        <v>160</v>
      </c>
      <c r="I8" s="5"/>
      <c r="J8" t="s">
        <v>152</v>
      </c>
      <c r="K8" s="4">
        <f>IFERROR(IF(Semana2[[#This Row],[ID da Venda]]=B9,0,VLOOKUP(Semana2[[#This Row],[Entrega]],'Cálculos e Anotações'!$C$37:$D$41,2,FALSE)),0)</f>
        <v>0</v>
      </c>
      <c r="L8" s="4">
        <f>Semana2[[#This Row],[Subtotal]]*(1-Semana2[[#This Row],[Desconto]])+Semana2[[#This Row],[Taxa de Entrega]]</f>
        <v>160</v>
      </c>
      <c r="M8" s="4">
        <f>IF(Semana2[[#This Row],[ID da Venda]]=B9,"",SUMIF(Semana2[ID da Venda],Semana2[[#This Row],[ID da Venda]],Semana2[Total]))</f>
        <v>296.25</v>
      </c>
    </row>
    <row r="9" spans="2:13" x14ac:dyDescent="0.3">
      <c r="B9">
        <v>5</v>
      </c>
      <c r="C9" s="6">
        <v>45877</v>
      </c>
      <c r="D9" t="s">
        <v>72</v>
      </c>
      <c r="E9" t="str">
        <f>IFERROR(VLOOKUP(Semana2[[#This Row],[Produto]],'Cálculos e Anotações'!$K$5:$N$34,4,0),"")</f>
        <v>Kg</v>
      </c>
      <c r="F9">
        <v>135</v>
      </c>
      <c r="G9" s="4">
        <f>IFERROR(VLOOKUP(Semana2[[#This Row],[Produto]],'Cálculos e Anotações'!$K$5:$N$34,3,0),0)</f>
        <v>30.9</v>
      </c>
      <c r="H9" s="4">
        <f>Semana2[[#This Row],[Quantidade]]*Semana2[[#This Row],[Preço Unitário]]</f>
        <v>4171.5</v>
      </c>
      <c r="I9" s="5"/>
      <c r="J9" t="s">
        <v>155</v>
      </c>
      <c r="K9" s="4">
        <f>IFERROR(IF(Semana2[[#This Row],[ID da Venda]]=B10,0,VLOOKUP(Semana2[[#This Row],[Entrega]],'Cálculos e Anotações'!$C$37:$D$41,2,FALSE)),0)</f>
        <v>0</v>
      </c>
      <c r="L9" s="4">
        <f>Semana2[[#This Row],[Subtotal]]*(1-Semana2[[#This Row],[Desconto]])+Semana2[[#This Row],[Taxa de Entrega]]</f>
        <v>4171.5</v>
      </c>
      <c r="M9" s="4" t="str">
        <f>IF(Semana2[[#This Row],[ID da Venda]]=B10,"",SUMIF(Semana2[ID da Venda],Semana2[[#This Row],[ID da Venda]],Semana2[Total]))</f>
        <v/>
      </c>
    </row>
    <row r="10" spans="2:13" x14ac:dyDescent="0.3">
      <c r="B10">
        <v>5</v>
      </c>
      <c r="C10" s="6">
        <v>45877</v>
      </c>
      <c r="D10" t="s">
        <v>78</v>
      </c>
      <c r="E10" t="str">
        <f>IFERROR(VLOOKUP(Semana2[[#This Row],[Produto]],'Cálculos e Anotações'!$K$5:$N$34,4,0),"")</f>
        <v>Kg</v>
      </c>
      <c r="F10">
        <v>150</v>
      </c>
      <c r="G10" s="4">
        <f>IFERROR(VLOOKUP(Semana2[[#This Row],[Produto]],'Cálculos e Anotações'!$K$5:$N$34,3,0),0)</f>
        <v>5.3</v>
      </c>
      <c r="H10" s="4">
        <f>Semana2[[#This Row],[Quantidade]]*Semana2[[#This Row],[Preço Unitário]]</f>
        <v>795</v>
      </c>
      <c r="I10" s="5">
        <v>7.0000000000000007E-2</v>
      </c>
      <c r="J10" t="s">
        <v>155</v>
      </c>
      <c r="K10" s="4">
        <f>IFERROR(IF(Semana2[[#This Row],[ID da Venda]]=B11,0,VLOOKUP(Semana2[[#This Row],[Entrega]],'Cálculos e Anotações'!$C$37:$D$41,2,FALSE)),0)</f>
        <v>0</v>
      </c>
      <c r="L10" s="4">
        <f>Semana2[[#This Row],[Subtotal]]*(1-Semana2[[#This Row],[Desconto]])+Semana2[[#This Row],[Taxa de Entrega]]</f>
        <v>739.34999999999991</v>
      </c>
      <c r="M10" s="4" t="str">
        <f>IF(Semana2[[#This Row],[ID da Venda]]=B11,"",SUMIF(Semana2[ID da Venda],Semana2[[#This Row],[ID da Venda]],Semana2[Total]))</f>
        <v/>
      </c>
    </row>
    <row r="11" spans="2:13" x14ac:dyDescent="0.3">
      <c r="B11">
        <v>5</v>
      </c>
      <c r="C11" s="6">
        <v>45877</v>
      </c>
      <c r="D11" t="s">
        <v>98</v>
      </c>
      <c r="E11" t="str">
        <f>IFERROR(VLOOKUP(Semana2[[#This Row],[Produto]],'Cálculos e Anotações'!$K$5:$N$34,4,0),"")</f>
        <v>Kg</v>
      </c>
      <c r="F11">
        <v>268</v>
      </c>
      <c r="G11" s="4">
        <f>IFERROR(VLOOKUP(Semana2[[#This Row],[Produto]],'Cálculos e Anotações'!$K$5:$N$34,3,0),0)</f>
        <v>30.5</v>
      </c>
      <c r="H11" s="4">
        <f>Semana2[[#This Row],[Quantidade]]*Semana2[[#This Row],[Preço Unitário]]</f>
        <v>8174</v>
      </c>
      <c r="I11" s="5"/>
      <c r="J11" t="s">
        <v>155</v>
      </c>
      <c r="K11" s="4">
        <f>IFERROR(IF(Semana2[[#This Row],[ID da Venda]]=B12,0,VLOOKUP(Semana2[[#This Row],[Entrega]],'Cálculos e Anotações'!$C$37:$D$41,2,FALSE)),0)</f>
        <v>0</v>
      </c>
      <c r="L11" s="4">
        <f>Semana2[[#This Row],[Subtotal]]*(1-Semana2[[#This Row],[Desconto]])+Semana2[[#This Row],[Taxa de Entrega]]</f>
        <v>8174</v>
      </c>
      <c r="M11" s="4" t="str">
        <f>IF(Semana2[[#This Row],[ID da Venda]]=B12,"",SUMIF(Semana2[ID da Venda],Semana2[[#This Row],[ID da Venda]],Semana2[Total]))</f>
        <v/>
      </c>
    </row>
    <row r="12" spans="2:13" x14ac:dyDescent="0.3">
      <c r="B12">
        <v>5</v>
      </c>
      <c r="C12" s="6">
        <v>45877</v>
      </c>
      <c r="D12" t="s">
        <v>94</v>
      </c>
      <c r="E12" t="str">
        <f>IFERROR(VLOOKUP(Semana2[[#This Row],[Produto]],'Cálculos e Anotações'!$K$5:$N$34,4,0),"")</f>
        <v>Litro</v>
      </c>
      <c r="F12">
        <v>245</v>
      </c>
      <c r="G12" s="4">
        <f>IFERROR(VLOOKUP(Semana2[[#This Row],[Produto]],'Cálculos e Anotações'!$K$5:$N$34,3,0),0)</f>
        <v>4.3899999999999997</v>
      </c>
      <c r="H12" s="4">
        <f>Semana2[[#This Row],[Quantidade]]*Semana2[[#This Row],[Preço Unitário]]</f>
        <v>1075.55</v>
      </c>
      <c r="I12" s="5"/>
      <c r="J12" t="s">
        <v>155</v>
      </c>
      <c r="K12" s="4">
        <f>IFERROR(IF(Semana2[[#This Row],[ID da Venda]]=B13,0,VLOOKUP(Semana2[[#This Row],[Entrega]],'Cálculos e Anotações'!$C$37:$D$41,2,FALSE)),0)</f>
        <v>210</v>
      </c>
      <c r="L12" s="4">
        <f>Semana2[[#This Row],[Subtotal]]*(1-Semana2[[#This Row],[Desconto]])+Semana2[[#This Row],[Taxa de Entrega]]</f>
        <v>1285.55</v>
      </c>
      <c r="M12" s="4">
        <f>IF(Semana2[[#This Row],[ID da Venda]]=B13,"",SUMIF(Semana2[ID da Venda],Semana2[[#This Row],[ID da Venda]],Semana2[Total]))</f>
        <v>14370.4</v>
      </c>
    </row>
    <row r="13" spans="2:13" x14ac:dyDescent="0.3">
      <c r="B13">
        <v>4</v>
      </c>
      <c r="C13" s="6">
        <v>45876</v>
      </c>
      <c r="D13" t="s">
        <v>98</v>
      </c>
      <c r="E13" t="str">
        <f>IFERROR(VLOOKUP(Semana2[[#This Row],[Produto]],'Cálculos e Anotações'!$K$5:$N$34,4,0),"")</f>
        <v>Kg</v>
      </c>
      <c r="F13">
        <v>155</v>
      </c>
      <c r="G13" s="4">
        <f>IFERROR(VLOOKUP(Semana2[[#This Row],[Produto]],'Cálculos e Anotações'!$K$5:$N$34,3,0),0)</f>
        <v>30.5</v>
      </c>
      <c r="H13" s="4">
        <f>Semana2[[#This Row],[Quantidade]]*Semana2[[#This Row],[Preço Unitário]]</f>
        <v>4727.5</v>
      </c>
      <c r="I13" s="5">
        <v>0.06</v>
      </c>
      <c r="J13" t="s">
        <v>153</v>
      </c>
      <c r="K13" s="4">
        <f>IFERROR(IF(Semana2[[#This Row],[ID da Venda]]=B14,0,VLOOKUP(Semana2[[#This Row],[Entrega]],'Cálculos e Anotações'!$C$37:$D$41,2,FALSE)),0)</f>
        <v>0</v>
      </c>
      <c r="L13" s="4">
        <f>Semana2[[#This Row],[Subtotal]]*(1-Semana2[[#This Row],[Desconto]])+Semana2[[#This Row],[Taxa de Entrega]]</f>
        <v>4443.8499999999995</v>
      </c>
      <c r="M13" s="4" t="str">
        <f>IF(Semana2[[#This Row],[ID da Venda]]=B14,"",SUMIF(Semana2[ID da Venda],Semana2[[#This Row],[ID da Venda]],Semana2[Total]))</f>
        <v/>
      </c>
    </row>
    <row r="14" spans="2:13" x14ac:dyDescent="0.3">
      <c r="B14">
        <v>4</v>
      </c>
      <c r="C14" s="6">
        <v>45876</v>
      </c>
      <c r="D14" t="s">
        <v>92</v>
      </c>
      <c r="E14" t="str">
        <f>IFERROR(VLOOKUP(Semana2[[#This Row],[Produto]],'Cálculos e Anotações'!$K$5:$N$34,4,0),"")</f>
        <v>Kg</v>
      </c>
      <c r="F14">
        <v>100</v>
      </c>
      <c r="G14" s="4">
        <f>IFERROR(VLOOKUP(Semana2[[#This Row],[Produto]],'Cálculos e Anotações'!$K$5:$N$34,3,0),0)</f>
        <v>9.9</v>
      </c>
      <c r="H14" s="4">
        <f>Semana2[[#This Row],[Quantidade]]*Semana2[[#This Row],[Preço Unitário]]</f>
        <v>990</v>
      </c>
      <c r="I14" s="5"/>
      <c r="J14" t="s">
        <v>153</v>
      </c>
      <c r="K14" s="4">
        <f>IFERROR(IF(Semana2[[#This Row],[ID da Venda]]=B15,0,VLOOKUP(Semana2[[#This Row],[Entrega]],'Cálculos e Anotações'!$C$37:$D$41,2,FALSE)),0)</f>
        <v>0</v>
      </c>
      <c r="L14" s="4">
        <f>Semana2[[#This Row],[Subtotal]]*(1-Semana2[[#This Row],[Desconto]])+Semana2[[#This Row],[Taxa de Entrega]]</f>
        <v>990</v>
      </c>
      <c r="M14" s="4" t="str">
        <f>IF(Semana2[[#This Row],[ID da Venda]]=B15,"",SUMIF(Semana2[ID da Venda],Semana2[[#This Row],[ID da Venda]],Semana2[Total]))</f>
        <v/>
      </c>
    </row>
    <row r="15" spans="2:13" x14ac:dyDescent="0.3">
      <c r="B15">
        <v>4</v>
      </c>
      <c r="C15" s="6">
        <v>45876</v>
      </c>
      <c r="D15" t="s">
        <v>101</v>
      </c>
      <c r="E15" t="str">
        <f>IFERROR(VLOOKUP(Semana2[[#This Row],[Produto]],'Cálculos e Anotações'!$K$5:$N$34,4,0),"")</f>
        <v>Litro</v>
      </c>
      <c r="F15">
        <v>230</v>
      </c>
      <c r="G15" s="4">
        <f>IFERROR(VLOOKUP(Semana2[[#This Row],[Produto]],'Cálculos e Anotações'!$K$5:$N$34,3,0),0)</f>
        <v>2.65</v>
      </c>
      <c r="H15" s="4">
        <f>Semana2[[#This Row],[Quantidade]]*Semana2[[#This Row],[Preço Unitário]]</f>
        <v>609.5</v>
      </c>
      <c r="I15" s="5"/>
      <c r="J15" t="s">
        <v>153</v>
      </c>
      <c r="K15" s="4">
        <f>IFERROR(IF(Semana2[[#This Row],[ID da Venda]]=B16,0,VLOOKUP(Semana2[[#This Row],[Entrega]],'Cálculos e Anotações'!$C$37:$D$41,2,FALSE)),0)</f>
        <v>0</v>
      </c>
      <c r="L15" s="4">
        <f>Semana2[[#This Row],[Subtotal]]*(1-Semana2[[#This Row],[Desconto]])+Semana2[[#This Row],[Taxa de Entrega]]</f>
        <v>609.5</v>
      </c>
      <c r="M15" s="4" t="str">
        <f>IF(Semana2[[#This Row],[ID da Venda]]=B16,"",SUMIF(Semana2[ID da Venda],Semana2[[#This Row],[ID da Venda]],Semana2[Total]))</f>
        <v/>
      </c>
    </row>
    <row r="16" spans="2:13" x14ac:dyDescent="0.3">
      <c r="B16">
        <v>4</v>
      </c>
      <c r="C16" s="6">
        <v>45876</v>
      </c>
      <c r="D16" t="s">
        <v>69</v>
      </c>
      <c r="E16" t="str">
        <f>IFERROR(VLOOKUP(Semana2[[#This Row],[Produto]],'Cálculos e Anotações'!$K$5:$N$34,4,0),"")</f>
        <v>Kg</v>
      </c>
      <c r="F16">
        <v>100</v>
      </c>
      <c r="G16" s="4">
        <f>IFERROR(VLOOKUP(Semana2[[#This Row],[Produto]],'Cálculos e Anotações'!$K$5:$N$34,3,0),0)</f>
        <v>6.3</v>
      </c>
      <c r="H16" s="4">
        <f>Semana2[[#This Row],[Quantidade]]*Semana2[[#This Row],[Preço Unitário]]</f>
        <v>630</v>
      </c>
      <c r="I16" s="5">
        <v>0.2</v>
      </c>
      <c r="J16" t="s">
        <v>153</v>
      </c>
      <c r="K16" s="4">
        <f>IFERROR(IF(Semana2[[#This Row],[ID da Venda]]=B17,0,VLOOKUP(Semana2[[#This Row],[Entrega]],'Cálculos e Anotações'!$C$37:$D$41,2,FALSE)),0)</f>
        <v>100</v>
      </c>
      <c r="L16" s="4">
        <f>Semana2[[#This Row],[Subtotal]]*(1-Semana2[[#This Row],[Desconto]])+Semana2[[#This Row],[Taxa de Entrega]]</f>
        <v>604</v>
      </c>
      <c r="M16" s="4">
        <f>IF(Semana2[[#This Row],[ID da Venda]]=B17,"",SUMIF(Semana2[ID da Venda],Semana2[[#This Row],[ID da Venda]],Semana2[Total]))</f>
        <v>6647.3499999999995</v>
      </c>
    </row>
    <row r="17" spans="2:13" x14ac:dyDescent="0.3">
      <c r="B17">
        <v>3</v>
      </c>
      <c r="C17" s="6">
        <v>45875</v>
      </c>
      <c r="D17" t="s">
        <v>72</v>
      </c>
      <c r="E17" t="str">
        <f>IFERROR(VLOOKUP(Semana2[[#This Row],[Produto]],'Cálculos e Anotações'!$K$5:$N$34,4,0),"")</f>
        <v>Kg</v>
      </c>
      <c r="F17">
        <v>230</v>
      </c>
      <c r="G17" s="4">
        <f>IFERROR(VLOOKUP(Semana2[[#This Row],[Produto]],'Cálculos e Anotações'!$K$5:$N$34,3,0),0)</f>
        <v>30.9</v>
      </c>
      <c r="H17" s="4">
        <f>Semana2[[#This Row],[Quantidade]]*Semana2[[#This Row],[Preço Unitário]]</f>
        <v>7107</v>
      </c>
      <c r="I17" s="5"/>
      <c r="J17" t="s">
        <v>154</v>
      </c>
      <c r="K17" s="4">
        <f>IFERROR(IF(Semana2[[#This Row],[ID da Venda]]=B18,0,VLOOKUP(Semana2[[#This Row],[Entrega]],'Cálculos e Anotações'!$C$37:$D$41,2,FALSE)),0)</f>
        <v>0</v>
      </c>
      <c r="L17" s="4">
        <f>Semana2[[#This Row],[Subtotal]]*(1-Semana2[[#This Row],[Desconto]])+Semana2[[#This Row],[Taxa de Entrega]]</f>
        <v>7107</v>
      </c>
      <c r="M17" s="4" t="str">
        <f>IF(Semana2[[#This Row],[ID da Venda]]=B18,"",SUMIF(Semana2[ID da Venda],Semana2[[#This Row],[ID da Venda]],Semana2[Total]))</f>
        <v/>
      </c>
    </row>
    <row r="18" spans="2:13" x14ac:dyDescent="0.3">
      <c r="B18">
        <v>3</v>
      </c>
      <c r="C18" s="6">
        <v>45875</v>
      </c>
      <c r="D18" t="s">
        <v>92</v>
      </c>
      <c r="E18" t="str">
        <f>IFERROR(VLOOKUP(Semana2[[#This Row],[Produto]],'Cálculos e Anotações'!$K$5:$N$34,4,0),"")</f>
        <v>Kg</v>
      </c>
      <c r="F18">
        <v>200</v>
      </c>
      <c r="G18" s="4">
        <f>IFERROR(VLOOKUP(Semana2[[#This Row],[Produto]],'Cálculos e Anotações'!$K$5:$N$34,3,0),0)</f>
        <v>9.9</v>
      </c>
      <c r="H18" s="4">
        <f>Semana2[[#This Row],[Quantidade]]*Semana2[[#This Row],[Preço Unitário]]</f>
        <v>1980</v>
      </c>
      <c r="I18" s="5">
        <v>0.04</v>
      </c>
      <c r="J18" t="s">
        <v>154</v>
      </c>
      <c r="K18" s="4">
        <f>IFERROR(IF(Semana2[[#This Row],[ID da Venda]]=B19,0,VLOOKUP(Semana2[[#This Row],[Entrega]],'Cálculos e Anotações'!$C$37:$D$41,2,FALSE)),0)</f>
        <v>0</v>
      </c>
      <c r="L18" s="4">
        <f>Semana2[[#This Row],[Subtotal]]*(1-Semana2[[#This Row],[Desconto]])+Semana2[[#This Row],[Taxa de Entrega]]</f>
        <v>1900.8</v>
      </c>
      <c r="M18" s="4" t="str">
        <f>IF(Semana2[[#This Row],[ID da Venda]]=B19,"",SUMIF(Semana2[ID da Venda],Semana2[[#This Row],[ID da Venda]],Semana2[Total]))</f>
        <v/>
      </c>
    </row>
    <row r="19" spans="2:13" x14ac:dyDescent="0.3">
      <c r="B19">
        <v>3</v>
      </c>
      <c r="C19" s="6">
        <v>45875</v>
      </c>
      <c r="D19" t="s">
        <v>96</v>
      </c>
      <c r="E19" t="str">
        <f>IFERROR(VLOOKUP(Semana2[[#This Row],[Produto]],'Cálculos e Anotações'!$K$5:$N$34,4,0),"")</f>
        <v>Unidade</v>
      </c>
      <c r="F19">
        <v>165</v>
      </c>
      <c r="G19" s="4">
        <f>IFERROR(VLOOKUP(Semana2[[#This Row],[Produto]],'Cálculos e Anotações'!$K$5:$N$34,3,0),0)</f>
        <v>3.15</v>
      </c>
      <c r="H19" s="4">
        <f>Semana2[[#This Row],[Quantidade]]*Semana2[[#This Row],[Preço Unitário]]</f>
        <v>519.75</v>
      </c>
      <c r="I19" s="5"/>
      <c r="J19" t="s">
        <v>154</v>
      </c>
      <c r="K19" s="4">
        <f>IFERROR(IF(Semana2[[#This Row],[ID da Venda]]=B20,0,VLOOKUP(Semana2[[#This Row],[Entrega]],'Cálculos e Anotações'!$C$37:$D$41,2,FALSE)),0)</f>
        <v>0</v>
      </c>
      <c r="L19" s="4">
        <f>Semana2[[#This Row],[Subtotal]]*(1-Semana2[[#This Row],[Desconto]])+Semana2[[#This Row],[Taxa de Entrega]]</f>
        <v>519.75</v>
      </c>
      <c r="M19" s="4" t="str">
        <f>IF(Semana2[[#This Row],[ID da Venda]]=B20,"",SUMIF(Semana2[ID da Venda],Semana2[[#This Row],[ID da Venda]],Semana2[Total]))</f>
        <v/>
      </c>
    </row>
    <row r="20" spans="2:13" x14ac:dyDescent="0.3">
      <c r="B20">
        <v>3</v>
      </c>
      <c r="C20" s="6">
        <v>45875</v>
      </c>
      <c r="D20" t="s">
        <v>74</v>
      </c>
      <c r="E20" t="str">
        <f>IFERROR(VLOOKUP(Semana2[[#This Row],[Produto]],'Cálculos e Anotações'!$K$5:$N$34,4,0),"")</f>
        <v>Lata</v>
      </c>
      <c r="F20">
        <v>429</v>
      </c>
      <c r="G20" s="4">
        <f>IFERROR(VLOOKUP(Semana2[[#This Row],[Produto]],'Cálculos e Anotações'!$K$5:$N$34,3,0),0)</f>
        <v>2.75</v>
      </c>
      <c r="H20" s="4">
        <f>Semana2[[#This Row],[Quantidade]]*Semana2[[#This Row],[Preço Unitário]]</f>
        <v>1179.75</v>
      </c>
      <c r="I20" s="5"/>
      <c r="J20" t="s">
        <v>154</v>
      </c>
      <c r="K20" s="4">
        <f>IFERROR(IF(Semana2[[#This Row],[ID da Venda]]=B21,0,VLOOKUP(Semana2[[#This Row],[Entrega]],'Cálculos e Anotações'!$C$37:$D$41,2,FALSE)),0)</f>
        <v>0</v>
      </c>
      <c r="L20" s="4">
        <f>Semana2[[#This Row],[Subtotal]]*(1-Semana2[[#This Row],[Desconto]])+Semana2[[#This Row],[Taxa de Entrega]]</f>
        <v>1179.75</v>
      </c>
      <c r="M20" s="4" t="str">
        <f>IF(Semana2[[#This Row],[ID da Venda]]=B21,"",SUMIF(Semana2[ID da Venda],Semana2[[#This Row],[ID da Venda]],Semana2[Total]))</f>
        <v/>
      </c>
    </row>
    <row r="21" spans="2:13" x14ac:dyDescent="0.3">
      <c r="B21">
        <v>3</v>
      </c>
      <c r="C21" s="6">
        <v>45875</v>
      </c>
      <c r="D21" t="s">
        <v>78</v>
      </c>
      <c r="E21" t="str">
        <f>IFERROR(VLOOKUP(Semana2[[#This Row],[Produto]],'Cálculos e Anotações'!$K$5:$N$34,4,0),"")</f>
        <v>Kg</v>
      </c>
      <c r="F21">
        <v>123</v>
      </c>
      <c r="G21" s="4">
        <f>IFERROR(VLOOKUP(Semana2[[#This Row],[Produto]],'Cálculos e Anotações'!$K$5:$N$34,3,0),0)</f>
        <v>5.3</v>
      </c>
      <c r="H21" s="4">
        <f>Semana2[[#This Row],[Quantidade]]*Semana2[[#This Row],[Preço Unitário]]</f>
        <v>651.9</v>
      </c>
      <c r="I21" s="5"/>
      <c r="J21" t="s">
        <v>154</v>
      </c>
      <c r="K21" s="4">
        <f>IFERROR(IF(Semana2[[#This Row],[ID da Venda]]=B22,0,VLOOKUP(Semana2[[#This Row],[Entrega]],'Cálculos e Anotações'!$C$37:$D$41,2,FALSE)),0)</f>
        <v>190</v>
      </c>
      <c r="L21" s="4">
        <f>Semana2[[#This Row],[Subtotal]]*(1-Semana2[[#This Row],[Desconto]])+Semana2[[#This Row],[Taxa de Entrega]]</f>
        <v>841.9</v>
      </c>
      <c r="M21" s="4">
        <f>IF(Semana2[[#This Row],[ID da Venda]]=B22,"",SUMIF(Semana2[ID da Venda],Semana2[[#This Row],[ID da Venda]],Semana2[Total]))</f>
        <v>11549.199999999999</v>
      </c>
    </row>
    <row r="22" spans="2:13" x14ac:dyDescent="0.3">
      <c r="B22">
        <v>2</v>
      </c>
      <c r="C22" s="6">
        <v>45874</v>
      </c>
      <c r="D22" t="s">
        <v>88</v>
      </c>
      <c r="E22" t="str">
        <f>IFERROR(VLOOKUP(Semana2[[#This Row],[Produto]],'Cálculos e Anotações'!$K$5:$N$34,4,0),"")</f>
        <v>Maço</v>
      </c>
      <c r="F22">
        <v>400</v>
      </c>
      <c r="G22" s="4">
        <f>IFERROR(VLOOKUP(Semana2[[#This Row],[Produto]],'Cálculos e Anotações'!$K$5:$N$34,3,0),0)</f>
        <v>7.1</v>
      </c>
      <c r="H22" s="4">
        <f>Semana2[[#This Row],[Quantidade]]*Semana2[[#This Row],[Preço Unitário]]</f>
        <v>2840</v>
      </c>
      <c r="I22" s="5"/>
      <c r="J22" t="s">
        <v>156</v>
      </c>
      <c r="K22" s="4">
        <f>IFERROR(IF(Semana2[[#This Row],[ID da Venda]]=B23,0,VLOOKUP(Semana2[[#This Row],[Entrega]],'Cálculos e Anotações'!$C$37:$D$41,2,FALSE)),0)</f>
        <v>0</v>
      </c>
      <c r="L22" s="4">
        <f>Semana2[[#This Row],[Subtotal]]*(1-Semana2[[#This Row],[Desconto]])+Semana2[[#This Row],[Taxa de Entrega]]</f>
        <v>2840</v>
      </c>
      <c r="M22" s="4" t="str">
        <f>IF(Semana2[[#This Row],[ID da Venda]]=B23,"",SUMIF(Semana2[ID da Venda],Semana2[[#This Row],[ID da Venda]],Semana2[Total]))</f>
        <v/>
      </c>
    </row>
    <row r="23" spans="2:13" x14ac:dyDescent="0.3">
      <c r="B23">
        <v>2</v>
      </c>
      <c r="C23" s="6">
        <v>45874</v>
      </c>
      <c r="D23" t="s">
        <v>96</v>
      </c>
      <c r="E23" t="str">
        <f>IFERROR(VLOOKUP(Semana2[[#This Row],[Produto]],'Cálculos e Anotações'!$K$5:$N$34,4,0),"")</f>
        <v>Unidade</v>
      </c>
      <c r="F23">
        <v>300</v>
      </c>
      <c r="G23" s="4">
        <f>IFERROR(VLOOKUP(Semana2[[#This Row],[Produto]],'Cálculos e Anotações'!$K$5:$N$34,3,0),0)</f>
        <v>3.15</v>
      </c>
      <c r="H23" s="4">
        <f>Semana2[[#This Row],[Quantidade]]*Semana2[[#This Row],[Preço Unitário]]</f>
        <v>945</v>
      </c>
      <c r="I23" s="5"/>
      <c r="J23" t="s">
        <v>156</v>
      </c>
      <c r="K23" s="4">
        <f>IFERROR(IF(Semana2[[#This Row],[ID da Venda]]=B24,0,VLOOKUP(Semana2[[#This Row],[Entrega]],'Cálculos e Anotações'!$C$37:$D$41,2,FALSE)),0)</f>
        <v>0</v>
      </c>
      <c r="L23" s="4">
        <f>Semana2[[#This Row],[Subtotal]]*(1-Semana2[[#This Row],[Desconto]])+Semana2[[#This Row],[Taxa de Entrega]]</f>
        <v>945</v>
      </c>
      <c r="M23" s="4" t="str">
        <f>IF(Semana2[[#This Row],[ID da Venda]]=B24,"",SUMIF(Semana2[ID da Venda],Semana2[[#This Row],[ID da Venda]],Semana2[Total]))</f>
        <v/>
      </c>
    </row>
    <row r="24" spans="2:13" x14ac:dyDescent="0.3">
      <c r="B24">
        <v>2</v>
      </c>
      <c r="C24" s="6">
        <v>45874</v>
      </c>
      <c r="D24" t="s">
        <v>72</v>
      </c>
      <c r="E24" t="str">
        <f>IFERROR(VLOOKUP(Semana2[[#This Row],[Produto]],'Cálculos e Anotações'!$K$5:$N$34,4,0),"")</f>
        <v>Kg</v>
      </c>
      <c r="F24">
        <v>250</v>
      </c>
      <c r="G24" s="4">
        <f>IFERROR(VLOOKUP(Semana2[[#This Row],[Produto]],'Cálculos e Anotações'!$K$5:$N$34,3,0),0)</f>
        <v>30.9</v>
      </c>
      <c r="H24" s="4">
        <f>Semana2[[#This Row],[Quantidade]]*Semana2[[#This Row],[Preço Unitário]]</f>
        <v>7725</v>
      </c>
      <c r="I24" s="5">
        <v>0.02</v>
      </c>
      <c r="J24" t="s">
        <v>156</v>
      </c>
      <c r="K24" s="4">
        <f>IFERROR(IF(Semana2[[#This Row],[ID da Venda]]=B25,0,VLOOKUP(Semana2[[#This Row],[Entrega]],'Cálculos e Anotações'!$C$37:$D$41,2,FALSE)),0)</f>
        <v>150</v>
      </c>
      <c r="L24" s="4">
        <f>Semana2[[#This Row],[Subtotal]]*(1-Semana2[[#This Row],[Desconto]])+Semana2[[#This Row],[Taxa de Entrega]]</f>
        <v>7720.5</v>
      </c>
      <c r="M24" s="4">
        <f>IF(Semana2[[#This Row],[ID da Venda]]=B25,"",SUMIF(Semana2[ID da Venda],Semana2[[#This Row],[ID da Venda]],Semana2[Total]))</f>
        <v>11505.5</v>
      </c>
    </row>
    <row r="25" spans="2:13" x14ac:dyDescent="0.3">
      <c r="B25">
        <v>1</v>
      </c>
      <c r="C25" s="6">
        <v>45873</v>
      </c>
      <c r="D25" t="s">
        <v>78</v>
      </c>
      <c r="E25" t="str">
        <f>IFERROR(VLOOKUP(Semana2[[#This Row],[Produto]],'Cálculos e Anotações'!$K$5:$N$34,4,0),"")</f>
        <v>Kg</v>
      </c>
      <c r="F25">
        <v>230</v>
      </c>
      <c r="G25" s="4">
        <f>IFERROR(VLOOKUP(Semana2[[#This Row],[Produto]],'Cálculos e Anotações'!$K$5:$N$34,3,0),0)</f>
        <v>5.3</v>
      </c>
      <c r="H25" s="4">
        <f>Semana2[[#This Row],[Quantidade]]*Semana2[[#This Row],[Preço Unitário]]</f>
        <v>1219</v>
      </c>
      <c r="I25" s="5"/>
      <c r="J25" t="s">
        <v>153</v>
      </c>
      <c r="K25" s="4">
        <f>IFERROR(IF(Semana2[[#This Row],[ID da Venda]]=B26,0,VLOOKUP(Semana2[[#This Row],[Entrega]],'Cálculos e Anotações'!$C$37:$D$41,2,FALSE)),0)</f>
        <v>0</v>
      </c>
      <c r="L25" s="4">
        <f>Semana2[[#This Row],[Subtotal]]*(1-Semana2[[#This Row],[Desconto]])+Semana2[[#This Row],[Taxa de Entrega]]</f>
        <v>1219</v>
      </c>
      <c r="M25" s="4" t="str">
        <f>IF(Semana2[[#This Row],[ID da Venda]]=B26,"",SUMIF(Semana2[ID da Venda],Semana2[[#This Row],[ID da Venda]],Semana2[Total]))</f>
        <v/>
      </c>
    </row>
    <row r="26" spans="2:13" x14ac:dyDescent="0.3">
      <c r="B26">
        <v>1</v>
      </c>
      <c r="C26" s="6">
        <v>45873</v>
      </c>
      <c r="D26" t="s">
        <v>94</v>
      </c>
      <c r="E26" t="str">
        <f>IFERROR(VLOOKUP(Semana2[[#This Row],[Produto]],'Cálculos e Anotações'!$K$5:$N$34,4,0),"")</f>
        <v>Litro</v>
      </c>
      <c r="F26">
        <v>340</v>
      </c>
      <c r="G26" s="4">
        <f>IFERROR(VLOOKUP(Semana2[[#This Row],[Produto]],'Cálculos e Anotações'!$K$5:$N$34,3,0),0)</f>
        <v>4.3899999999999997</v>
      </c>
      <c r="H26" s="4">
        <f>Semana2[[#This Row],[Quantidade]]*Semana2[[#This Row],[Preço Unitário]]</f>
        <v>1492.6</v>
      </c>
      <c r="I26" s="5"/>
      <c r="J26" t="s">
        <v>153</v>
      </c>
      <c r="K26" s="4">
        <f>IFERROR(IF(Semana2[[#This Row],[ID da Venda]]=B27,0,VLOOKUP(Semana2[[#This Row],[Entrega]],'Cálculos e Anotações'!$C$37:$D$41,2,FALSE)),0)</f>
        <v>0</v>
      </c>
      <c r="L26" s="4">
        <f>Semana2[[#This Row],[Subtotal]]*(1-Semana2[[#This Row],[Desconto]])+Semana2[[#This Row],[Taxa de Entrega]]</f>
        <v>1492.6</v>
      </c>
      <c r="M26" s="4" t="str">
        <f>IF(Semana2[[#This Row],[ID da Venda]]=B27,"",SUMIF(Semana2[ID da Venda],Semana2[[#This Row],[ID da Venda]],Semana2[Total]))</f>
        <v/>
      </c>
    </row>
    <row r="27" spans="2:13" x14ac:dyDescent="0.3">
      <c r="B27">
        <v>1</v>
      </c>
      <c r="C27" s="6">
        <v>45873</v>
      </c>
      <c r="D27" t="s">
        <v>70</v>
      </c>
      <c r="E27" t="str">
        <f>IFERROR(VLOOKUP(Semana2[[#This Row],[Produto]],'Cálculos e Anotações'!$K$5:$N$34,4,0),"")</f>
        <v>Kg</v>
      </c>
      <c r="F27">
        <v>230</v>
      </c>
      <c r="G27" s="4">
        <f>IFERROR(VLOOKUP(Semana2[[#This Row],[Produto]],'Cálculos e Anotações'!$K$5:$N$34,3,0),0)</f>
        <v>10.5</v>
      </c>
      <c r="H27" s="4">
        <f>Semana2[[#This Row],[Quantidade]]*Semana2[[#This Row],[Preço Unitário]]</f>
        <v>2415</v>
      </c>
      <c r="I27" s="5"/>
      <c r="J27" t="s">
        <v>153</v>
      </c>
      <c r="K27" s="4">
        <f>IFERROR(IF(Semana2[[#This Row],[ID da Venda]]=B28,0,VLOOKUP(Semana2[[#This Row],[Entrega]],'Cálculos e Anotações'!$C$37:$D$41,2,FALSE)),0)</f>
        <v>0</v>
      </c>
      <c r="L27" s="4">
        <f>Semana2[[#This Row],[Subtotal]]*(1-Semana2[[#This Row],[Desconto]])+Semana2[[#This Row],[Taxa de Entrega]]</f>
        <v>2415</v>
      </c>
      <c r="M27" s="4" t="str">
        <f>IF(Semana2[[#This Row],[ID da Venda]]=B28,"",SUMIF(Semana2[ID da Venda],Semana2[[#This Row],[ID da Venda]],Semana2[Total]))</f>
        <v/>
      </c>
    </row>
    <row r="28" spans="2:13" x14ac:dyDescent="0.3">
      <c r="B28">
        <v>1</v>
      </c>
      <c r="C28" s="6">
        <v>45873</v>
      </c>
      <c r="D28" t="s">
        <v>100</v>
      </c>
      <c r="E28" t="str">
        <f>IFERROR(VLOOKUP(Semana2[[#This Row],[Produto]],'Cálculos e Anotações'!$K$5:$N$34,4,0),"")</f>
        <v>Kg</v>
      </c>
      <c r="F28">
        <v>240</v>
      </c>
      <c r="G28" s="4">
        <f>IFERROR(VLOOKUP(Semana2[[#This Row],[Produto]],'Cálculos e Anotações'!$K$5:$N$34,3,0),0)</f>
        <v>32</v>
      </c>
      <c r="H28" s="4">
        <f>Semana2[[#This Row],[Quantidade]]*Semana2[[#This Row],[Preço Unitário]]</f>
        <v>7680</v>
      </c>
      <c r="I28" s="5">
        <v>0.06</v>
      </c>
      <c r="J28" t="s">
        <v>153</v>
      </c>
      <c r="K28" s="4">
        <f>IFERROR(IF(Semana2[[#This Row],[ID da Venda]]=B29,0,VLOOKUP(Semana2[[#This Row],[Entrega]],'Cálculos e Anotações'!$C$37:$D$41,2,FALSE)),0)</f>
        <v>0</v>
      </c>
      <c r="L28" s="4">
        <f>Semana2[[#This Row],[Subtotal]]*(1-Semana2[[#This Row],[Desconto]])+Semana2[[#This Row],[Taxa de Entrega]]</f>
        <v>7219.2</v>
      </c>
      <c r="M28" s="4" t="str">
        <f>IF(Semana2[[#This Row],[ID da Venda]]=B29,"",SUMIF(Semana2[ID da Venda],Semana2[[#This Row],[ID da Venda]],Semana2[Total]))</f>
        <v/>
      </c>
    </row>
    <row r="29" spans="2:13" x14ac:dyDescent="0.3">
      <c r="B29">
        <v>1</v>
      </c>
      <c r="C29" s="6">
        <v>45873</v>
      </c>
      <c r="D29" t="s">
        <v>104</v>
      </c>
      <c r="E29" t="str">
        <f>IFERROR(VLOOKUP(Semana2[[#This Row],[Produto]],'Cálculos e Anotações'!$K$5:$N$34,4,0),"")</f>
        <v>Garrafa</v>
      </c>
      <c r="F29">
        <v>90</v>
      </c>
      <c r="G29" s="4">
        <f>IFERROR(VLOOKUP(Semana2[[#This Row],[Produto]],'Cálculos e Anotações'!$K$5:$N$34,3,0),0)</f>
        <v>58</v>
      </c>
      <c r="H29" s="4">
        <f>Semana2[[#This Row],[Quantidade]]*Semana2[[#This Row],[Preço Unitário]]</f>
        <v>5220</v>
      </c>
      <c r="I29" s="5"/>
      <c r="J29" t="s">
        <v>153</v>
      </c>
      <c r="K29" s="4">
        <f>IFERROR(IF(Semana2[[#This Row],[ID da Venda]]=B30,0,VLOOKUP(Semana2[[#This Row],[Entrega]],'Cálculos e Anotações'!$C$37:$D$41,2,FALSE)),0)</f>
        <v>100</v>
      </c>
      <c r="L29" s="4">
        <f>Semana2[[#This Row],[Subtotal]]*(1-Semana2[[#This Row],[Desconto]])+Semana2[[#This Row],[Taxa de Entrega]]</f>
        <v>5320</v>
      </c>
      <c r="M29" s="4">
        <f>IF(Semana2[[#This Row],[ID da Venda]]=B30,"",SUMIF(Semana2[ID da Venda],Semana2[[#This Row],[ID da Venda]],Semana2[Total]))</f>
        <v>17665.8</v>
      </c>
    </row>
    <row r="32" spans="2:13" ht="24" thickBot="1" x14ac:dyDescent="0.5">
      <c r="B32" s="29" t="s">
        <v>164</v>
      </c>
      <c r="C32" s="29"/>
      <c r="D32" s="29"/>
      <c r="E32" s="30"/>
      <c r="F32" s="29"/>
      <c r="G32" s="29"/>
      <c r="H32" s="29"/>
      <c r="I32" s="30"/>
      <c r="J32" s="29"/>
      <c r="K32" s="29"/>
      <c r="L32" s="29"/>
      <c r="M32" s="30">
        <f>SUM(Semana2[Total])</f>
        <v>63749.7</v>
      </c>
    </row>
    <row r="33" spans="2:13" ht="24" thickBot="1" x14ac:dyDescent="0.5">
      <c r="B33" s="31" t="s">
        <v>165</v>
      </c>
      <c r="C33" s="31"/>
      <c r="D33" s="31"/>
      <c r="E33" s="32"/>
      <c r="F33" s="31"/>
      <c r="G33" s="31"/>
      <c r="H33" s="31"/>
      <c r="I33" s="32"/>
      <c r="J33" s="31"/>
      <c r="K33" s="31"/>
      <c r="L33" s="31"/>
      <c r="M33" s="32">
        <f>SUM(Semana2[Taxa de Entrega])</f>
        <v>940</v>
      </c>
    </row>
    <row r="34" spans="2:13" ht="23.4" x14ac:dyDescent="0.45">
      <c r="B34" s="31" t="s">
        <v>151</v>
      </c>
      <c r="C34" s="31"/>
      <c r="D34" s="31"/>
      <c r="E34" s="32"/>
      <c r="F34" s="31"/>
      <c r="G34" s="31"/>
      <c r="H34" s="31"/>
      <c r="I34" s="32"/>
      <c r="J34" s="31"/>
      <c r="K34" s="31"/>
      <c r="L34" s="31"/>
      <c r="M34" s="57" cm="1">
        <f t="array" ref="M34">SUM(IF(FREQUENCY(Semana2[ID da Venda],Semana2[ID da Venda])&gt;0,1,0))</f>
        <v>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77A7B73-35D2-4833-802A-E0748BC90F53}">
          <x14:formula1>
            <xm:f>'Cálculos e Anotações'!$K$5:$K$34</xm:f>
          </x14:formula1>
          <xm:sqref>D5:D29</xm:sqref>
        </x14:dataValidation>
        <x14:dataValidation type="list" allowBlank="1" showInputMessage="1" showErrorMessage="1" xr:uid="{CE01127F-C168-4393-A6AA-9A99A88F226B}">
          <x14:formula1>
            <xm:f>'Cálculos e Anotações'!$C$37:$C$41</xm:f>
          </x14:formula1>
          <xm:sqref>J5:J29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5BFC-20BE-4D5F-A008-4A39B5747040}">
  <dimension ref="B4:E92"/>
  <sheetViews>
    <sheetView showGridLines="0" zoomScale="85" zoomScaleNormal="85" workbookViewId="0">
      <selection activeCell="C2" sqref="C2"/>
    </sheetView>
  </sheetViews>
  <sheetFormatPr defaultRowHeight="14.4" x14ac:dyDescent="0.3"/>
  <cols>
    <col min="1" max="1" width="18.6640625" bestFit="1" customWidth="1"/>
    <col min="2" max="2" width="19.33203125" bestFit="1" customWidth="1"/>
    <col min="3" max="3" width="20.88671875" bestFit="1" customWidth="1"/>
    <col min="4" max="4" width="24.6640625" bestFit="1" customWidth="1"/>
    <col min="5" max="5" width="15" bestFit="1" customWidth="1"/>
    <col min="6" max="6" width="17.33203125" bestFit="1" customWidth="1"/>
    <col min="7" max="7" width="18.88671875" bestFit="1" customWidth="1"/>
    <col min="8" max="8" width="20.88671875" bestFit="1" customWidth="1"/>
    <col min="9" max="9" width="24.6640625" bestFit="1" customWidth="1"/>
    <col min="10" max="10" width="14.44140625" bestFit="1" customWidth="1"/>
  </cols>
  <sheetData>
    <row r="4" spans="2:4" x14ac:dyDescent="0.3">
      <c r="B4" s="88" t="s">
        <v>167</v>
      </c>
      <c r="C4" t="s">
        <v>168</v>
      </c>
      <c r="D4" t="s">
        <v>169</v>
      </c>
    </row>
    <row r="5" spans="2:4" x14ac:dyDescent="0.3">
      <c r="B5" s="89">
        <v>45879</v>
      </c>
      <c r="C5">
        <v>450</v>
      </c>
      <c r="D5" s="90">
        <v>1715.2</v>
      </c>
    </row>
    <row r="6" spans="2:4" x14ac:dyDescent="0.3">
      <c r="B6" s="91" t="s">
        <v>102</v>
      </c>
      <c r="C6">
        <v>150</v>
      </c>
      <c r="D6" s="90">
        <v>490.2</v>
      </c>
    </row>
    <row r="7" spans="2:4" x14ac:dyDescent="0.3">
      <c r="B7" s="91" t="s">
        <v>75</v>
      </c>
      <c r="C7">
        <v>300</v>
      </c>
      <c r="D7" s="90">
        <v>1225</v>
      </c>
    </row>
    <row r="8" spans="2:4" x14ac:dyDescent="0.3">
      <c r="B8" s="89">
        <v>45878</v>
      </c>
      <c r="C8">
        <v>30</v>
      </c>
      <c r="D8" s="90">
        <v>296.25</v>
      </c>
    </row>
    <row r="9" spans="2:4" x14ac:dyDescent="0.3">
      <c r="B9" s="91" t="s">
        <v>100</v>
      </c>
      <c r="C9">
        <v>5</v>
      </c>
      <c r="D9" s="90">
        <v>160</v>
      </c>
    </row>
    <row r="10" spans="2:4" x14ac:dyDescent="0.3">
      <c r="B10" s="91" t="s">
        <v>86</v>
      </c>
      <c r="C10">
        <v>25</v>
      </c>
      <c r="D10" s="90">
        <v>136.25</v>
      </c>
    </row>
    <row r="11" spans="2:4" x14ac:dyDescent="0.3">
      <c r="B11" s="89">
        <v>45877</v>
      </c>
      <c r="C11">
        <v>798</v>
      </c>
      <c r="D11" s="90">
        <v>14370.4</v>
      </c>
    </row>
    <row r="12" spans="2:4" x14ac:dyDescent="0.3">
      <c r="B12" s="91" t="s">
        <v>78</v>
      </c>
      <c r="C12">
        <v>150</v>
      </c>
      <c r="D12" s="90">
        <v>739.34999999999991</v>
      </c>
    </row>
    <row r="13" spans="2:4" x14ac:dyDescent="0.3">
      <c r="B13" s="91" t="s">
        <v>94</v>
      </c>
      <c r="C13">
        <v>245</v>
      </c>
      <c r="D13" s="90">
        <v>1285.55</v>
      </c>
    </row>
    <row r="14" spans="2:4" x14ac:dyDescent="0.3">
      <c r="B14" s="91" t="s">
        <v>98</v>
      </c>
      <c r="C14">
        <v>268</v>
      </c>
      <c r="D14" s="90">
        <v>8174</v>
      </c>
    </row>
    <row r="15" spans="2:4" x14ac:dyDescent="0.3">
      <c r="B15" s="91" t="s">
        <v>72</v>
      </c>
      <c r="C15">
        <v>135</v>
      </c>
      <c r="D15" s="90">
        <v>4171.5</v>
      </c>
    </row>
    <row r="16" spans="2:4" x14ac:dyDescent="0.3">
      <c r="B16" s="89">
        <v>45876</v>
      </c>
      <c r="C16">
        <v>585</v>
      </c>
      <c r="D16" s="90">
        <v>6647.3499999999995</v>
      </c>
    </row>
    <row r="17" spans="2:4" x14ac:dyDescent="0.3">
      <c r="B17" s="91" t="s">
        <v>101</v>
      </c>
      <c r="C17">
        <v>230</v>
      </c>
      <c r="D17" s="90">
        <v>609.5</v>
      </c>
    </row>
    <row r="18" spans="2:4" x14ac:dyDescent="0.3">
      <c r="B18" s="91" t="s">
        <v>92</v>
      </c>
      <c r="C18">
        <v>100</v>
      </c>
      <c r="D18" s="90">
        <v>990</v>
      </c>
    </row>
    <row r="19" spans="2:4" x14ac:dyDescent="0.3">
      <c r="B19" s="91" t="s">
        <v>98</v>
      </c>
      <c r="C19">
        <v>155</v>
      </c>
      <c r="D19" s="90">
        <v>4443.8499999999995</v>
      </c>
    </row>
    <row r="20" spans="2:4" x14ac:dyDescent="0.3">
      <c r="B20" s="91" t="s">
        <v>69</v>
      </c>
      <c r="C20">
        <v>100</v>
      </c>
      <c r="D20" s="90">
        <v>604</v>
      </c>
    </row>
    <row r="21" spans="2:4" x14ac:dyDescent="0.3">
      <c r="B21" s="89">
        <v>45875</v>
      </c>
      <c r="C21">
        <v>1147</v>
      </c>
      <c r="D21" s="90">
        <v>11549.2</v>
      </c>
    </row>
    <row r="22" spans="2:4" x14ac:dyDescent="0.3">
      <c r="B22" s="91" t="s">
        <v>78</v>
      </c>
      <c r="C22">
        <v>123</v>
      </c>
      <c r="D22" s="90">
        <v>841.9</v>
      </c>
    </row>
    <row r="23" spans="2:4" x14ac:dyDescent="0.3">
      <c r="B23" s="91" t="s">
        <v>96</v>
      </c>
      <c r="C23">
        <v>165</v>
      </c>
      <c r="D23" s="90">
        <v>519.75</v>
      </c>
    </row>
    <row r="24" spans="2:4" x14ac:dyDescent="0.3">
      <c r="B24" s="91" t="s">
        <v>92</v>
      </c>
      <c r="C24">
        <v>200</v>
      </c>
      <c r="D24" s="90">
        <v>1900.8</v>
      </c>
    </row>
    <row r="25" spans="2:4" x14ac:dyDescent="0.3">
      <c r="B25" s="91" t="s">
        <v>72</v>
      </c>
      <c r="C25">
        <v>230</v>
      </c>
      <c r="D25" s="90">
        <v>7107</v>
      </c>
    </row>
    <row r="26" spans="2:4" x14ac:dyDescent="0.3">
      <c r="B26" s="91" t="s">
        <v>74</v>
      </c>
      <c r="C26">
        <v>429</v>
      </c>
      <c r="D26" s="90">
        <v>1179.75</v>
      </c>
    </row>
    <row r="27" spans="2:4" x14ac:dyDescent="0.3">
      <c r="B27" s="89">
        <v>45874</v>
      </c>
      <c r="C27">
        <v>950</v>
      </c>
      <c r="D27" s="90">
        <v>11505.5</v>
      </c>
    </row>
    <row r="28" spans="2:4" x14ac:dyDescent="0.3">
      <c r="B28" s="91" t="s">
        <v>96</v>
      </c>
      <c r="C28">
        <v>300</v>
      </c>
      <c r="D28" s="90">
        <v>945</v>
      </c>
    </row>
    <row r="29" spans="2:4" x14ac:dyDescent="0.3">
      <c r="B29" s="91" t="s">
        <v>72</v>
      </c>
      <c r="C29">
        <v>250</v>
      </c>
      <c r="D29" s="90">
        <v>7720.5</v>
      </c>
    </row>
    <row r="30" spans="2:4" x14ac:dyDescent="0.3">
      <c r="B30" s="91" t="s">
        <v>88</v>
      </c>
      <c r="C30">
        <v>400</v>
      </c>
      <c r="D30" s="90">
        <v>2840</v>
      </c>
    </row>
    <row r="31" spans="2:4" x14ac:dyDescent="0.3">
      <c r="B31" s="89">
        <v>45873</v>
      </c>
      <c r="C31">
        <v>1130</v>
      </c>
      <c r="D31" s="90">
        <v>17665.8</v>
      </c>
    </row>
    <row r="32" spans="2:4" x14ac:dyDescent="0.3">
      <c r="B32" s="91" t="s">
        <v>78</v>
      </c>
      <c r="C32">
        <v>230</v>
      </c>
      <c r="D32" s="90">
        <v>1219</v>
      </c>
    </row>
    <row r="33" spans="2:4" x14ac:dyDescent="0.3">
      <c r="B33" s="91" t="s">
        <v>94</v>
      </c>
      <c r="C33">
        <v>340</v>
      </c>
      <c r="D33" s="90">
        <v>1492.6</v>
      </c>
    </row>
    <row r="34" spans="2:4" x14ac:dyDescent="0.3">
      <c r="B34" s="91" t="s">
        <v>100</v>
      </c>
      <c r="C34">
        <v>240</v>
      </c>
      <c r="D34" s="90">
        <v>7219.2</v>
      </c>
    </row>
    <row r="35" spans="2:4" x14ac:dyDescent="0.3">
      <c r="B35" s="91" t="s">
        <v>70</v>
      </c>
      <c r="C35">
        <v>230</v>
      </c>
      <c r="D35" s="90">
        <v>2415</v>
      </c>
    </row>
    <row r="36" spans="2:4" x14ac:dyDescent="0.3">
      <c r="B36" s="91" t="s">
        <v>104</v>
      </c>
      <c r="C36">
        <v>90</v>
      </c>
      <c r="D36" s="90">
        <v>5320</v>
      </c>
    </row>
    <row r="37" spans="2:4" x14ac:dyDescent="0.3">
      <c r="B37" s="89" t="s">
        <v>170</v>
      </c>
      <c r="C37">
        <v>5090</v>
      </c>
      <c r="D37" s="90">
        <v>63749.69999999999</v>
      </c>
    </row>
    <row r="61" spans="2:5" ht="15.6" x14ac:dyDescent="0.3">
      <c r="B61" s="93" t="s">
        <v>174</v>
      </c>
      <c r="C61" s="79" t="s">
        <v>168</v>
      </c>
      <c r="D61" s="79" t="s">
        <v>172</v>
      </c>
      <c r="E61" s="79" t="s">
        <v>169</v>
      </c>
    </row>
    <row r="62" spans="2:5" ht="15.6" x14ac:dyDescent="0.3">
      <c r="B62" s="94" t="s">
        <v>152</v>
      </c>
      <c r="C62" s="79">
        <v>30</v>
      </c>
      <c r="D62" s="95">
        <v>0</v>
      </c>
      <c r="E62" s="95">
        <v>296.25</v>
      </c>
    </row>
    <row r="63" spans="2:5" ht="15.6" x14ac:dyDescent="0.3">
      <c r="B63" s="97" t="s">
        <v>100</v>
      </c>
      <c r="C63" s="79">
        <v>5</v>
      </c>
      <c r="D63" s="95">
        <v>0</v>
      </c>
      <c r="E63" s="95">
        <v>160</v>
      </c>
    </row>
    <row r="64" spans="2:5" ht="15.6" x14ac:dyDescent="0.3">
      <c r="B64" s="97" t="s">
        <v>86</v>
      </c>
      <c r="C64" s="79">
        <v>25</v>
      </c>
      <c r="D64" s="95">
        <v>0</v>
      </c>
      <c r="E64" s="95">
        <v>136.25</v>
      </c>
    </row>
    <row r="65" spans="2:5" ht="15.6" x14ac:dyDescent="0.3">
      <c r="B65" s="94" t="s">
        <v>154</v>
      </c>
      <c r="C65" s="79">
        <v>1597</v>
      </c>
      <c r="D65" s="95">
        <v>380</v>
      </c>
      <c r="E65" s="95">
        <v>13264.4</v>
      </c>
    </row>
    <row r="66" spans="2:5" ht="15.6" x14ac:dyDescent="0.3">
      <c r="B66" s="97" t="s">
        <v>78</v>
      </c>
      <c r="C66" s="79">
        <v>123</v>
      </c>
      <c r="D66" s="95">
        <v>190</v>
      </c>
      <c r="E66" s="95">
        <v>841.9</v>
      </c>
    </row>
    <row r="67" spans="2:5" ht="15.6" x14ac:dyDescent="0.3">
      <c r="B67" s="97" t="s">
        <v>96</v>
      </c>
      <c r="C67" s="79">
        <v>165</v>
      </c>
      <c r="D67" s="95">
        <v>0</v>
      </c>
      <c r="E67" s="95">
        <v>519.75</v>
      </c>
    </row>
    <row r="68" spans="2:5" ht="15.6" x14ac:dyDescent="0.3">
      <c r="B68" s="97" t="s">
        <v>92</v>
      </c>
      <c r="C68" s="79">
        <v>200</v>
      </c>
      <c r="D68" s="95">
        <v>0</v>
      </c>
      <c r="E68" s="95">
        <v>1900.8</v>
      </c>
    </row>
    <row r="69" spans="2:5" ht="15.6" x14ac:dyDescent="0.3">
      <c r="B69" s="97" t="s">
        <v>102</v>
      </c>
      <c r="C69" s="79">
        <v>150</v>
      </c>
      <c r="D69" s="95">
        <v>0</v>
      </c>
      <c r="E69" s="95">
        <v>490.2</v>
      </c>
    </row>
    <row r="70" spans="2:5" ht="15.6" x14ac:dyDescent="0.3">
      <c r="B70" s="97" t="s">
        <v>75</v>
      </c>
      <c r="C70" s="79">
        <v>300</v>
      </c>
      <c r="D70" s="95">
        <v>190</v>
      </c>
      <c r="E70" s="95">
        <v>1225</v>
      </c>
    </row>
    <row r="71" spans="2:5" ht="15.6" x14ac:dyDescent="0.3">
      <c r="B71" s="97" t="s">
        <v>72</v>
      </c>
      <c r="C71" s="79">
        <v>230</v>
      </c>
      <c r="D71" s="95">
        <v>0</v>
      </c>
      <c r="E71" s="95">
        <v>7107</v>
      </c>
    </row>
    <row r="72" spans="2:5" ht="15.6" x14ac:dyDescent="0.3">
      <c r="B72" s="97" t="s">
        <v>74</v>
      </c>
      <c r="C72" s="79">
        <v>429</v>
      </c>
      <c r="D72" s="95">
        <v>0</v>
      </c>
      <c r="E72" s="95">
        <v>1179.75</v>
      </c>
    </row>
    <row r="73" spans="2:5" ht="15.6" x14ac:dyDescent="0.3">
      <c r="B73" s="94" t="s">
        <v>155</v>
      </c>
      <c r="C73" s="79">
        <v>798</v>
      </c>
      <c r="D73" s="95">
        <v>210</v>
      </c>
      <c r="E73" s="95">
        <v>14370.4</v>
      </c>
    </row>
    <row r="74" spans="2:5" ht="15.6" x14ac:dyDescent="0.3">
      <c r="B74" s="97" t="s">
        <v>78</v>
      </c>
      <c r="C74" s="79">
        <v>150</v>
      </c>
      <c r="D74" s="95">
        <v>0</v>
      </c>
      <c r="E74" s="95">
        <v>739.34999999999991</v>
      </c>
    </row>
    <row r="75" spans="2:5" ht="15.6" x14ac:dyDescent="0.3">
      <c r="B75" s="97" t="s">
        <v>94</v>
      </c>
      <c r="C75" s="79">
        <v>245</v>
      </c>
      <c r="D75" s="95">
        <v>210</v>
      </c>
      <c r="E75" s="95">
        <v>1285.55</v>
      </c>
    </row>
    <row r="76" spans="2:5" ht="15.6" x14ac:dyDescent="0.3">
      <c r="B76" s="97" t="s">
        <v>98</v>
      </c>
      <c r="C76" s="79">
        <v>268</v>
      </c>
      <c r="D76" s="95">
        <v>0</v>
      </c>
      <c r="E76" s="95">
        <v>8174</v>
      </c>
    </row>
    <row r="77" spans="2:5" ht="15.6" x14ac:dyDescent="0.3">
      <c r="B77" s="97" t="s">
        <v>72</v>
      </c>
      <c r="C77" s="79">
        <v>135</v>
      </c>
      <c r="D77" s="95">
        <v>0</v>
      </c>
      <c r="E77" s="95">
        <v>4171.5</v>
      </c>
    </row>
    <row r="78" spans="2:5" ht="15.6" x14ac:dyDescent="0.3">
      <c r="B78" s="94" t="s">
        <v>156</v>
      </c>
      <c r="C78" s="79">
        <v>950</v>
      </c>
      <c r="D78" s="95">
        <v>150</v>
      </c>
      <c r="E78" s="95">
        <v>11505.5</v>
      </c>
    </row>
    <row r="79" spans="2:5" ht="15.6" x14ac:dyDescent="0.3">
      <c r="B79" s="97" t="s">
        <v>96</v>
      </c>
      <c r="C79" s="79">
        <v>300</v>
      </c>
      <c r="D79" s="95">
        <v>0</v>
      </c>
      <c r="E79" s="95">
        <v>945</v>
      </c>
    </row>
    <row r="80" spans="2:5" ht="15.6" x14ac:dyDescent="0.3">
      <c r="B80" s="97" t="s">
        <v>72</v>
      </c>
      <c r="C80" s="79">
        <v>250</v>
      </c>
      <c r="D80" s="95">
        <v>150</v>
      </c>
      <c r="E80" s="95">
        <v>7720.5</v>
      </c>
    </row>
    <row r="81" spans="2:5" ht="15.6" x14ac:dyDescent="0.3">
      <c r="B81" s="97" t="s">
        <v>88</v>
      </c>
      <c r="C81" s="79">
        <v>400</v>
      </c>
      <c r="D81" s="95">
        <v>0</v>
      </c>
      <c r="E81" s="95">
        <v>2840</v>
      </c>
    </row>
    <row r="82" spans="2:5" ht="15.6" x14ac:dyDescent="0.3">
      <c r="B82" s="94" t="s">
        <v>153</v>
      </c>
      <c r="C82" s="79">
        <v>1715</v>
      </c>
      <c r="D82" s="95">
        <v>200</v>
      </c>
      <c r="E82" s="95">
        <v>24313.149999999998</v>
      </c>
    </row>
    <row r="83" spans="2:5" ht="15.6" x14ac:dyDescent="0.3">
      <c r="B83" s="97" t="s">
        <v>78</v>
      </c>
      <c r="C83" s="79">
        <v>230</v>
      </c>
      <c r="D83" s="95">
        <v>0</v>
      </c>
      <c r="E83" s="95">
        <v>1219</v>
      </c>
    </row>
    <row r="84" spans="2:5" ht="15.6" x14ac:dyDescent="0.3">
      <c r="B84" s="97" t="s">
        <v>94</v>
      </c>
      <c r="C84" s="79">
        <v>340</v>
      </c>
      <c r="D84" s="95">
        <v>0</v>
      </c>
      <c r="E84" s="95">
        <v>1492.6</v>
      </c>
    </row>
    <row r="85" spans="2:5" ht="15.6" x14ac:dyDescent="0.3">
      <c r="B85" s="97" t="s">
        <v>100</v>
      </c>
      <c r="C85" s="79">
        <v>240</v>
      </c>
      <c r="D85" s="95">
        <v>0</v>
      </c>
      <c r="E85" s="95">
        <v>7219.2</v>
      </c>
    </row>
    <row r="86" spans="2:5" ht="15.6" x14ac:dyDescent="0.3">
      <c r="B86" s="97" t="s">
        <v>101</v>
      </c>
      <c r="C86" s="79">
        <v>230</v>
      </c>
      <c r="D86" s="95">
        <v>0</v>
      </c>
      <c r="E86" s="95">
        <v>609.5</v>
      </c>
    </row>
    <row r="87" spans="2:5" ht="15.6" x14ac:dyDescent="0.3">
      <c r="B87" s="97" t="s">
        <v>92</v>
      </c>
      <c r="C87" s="79">
        <v>100</v>
      </c>
      <c r="D87" s="95">
        <v>0</v>
      </c>
      <c r="E87" s="95">
        <v>990</v>
      </c>
    </row>
    <row r="88" spans="2:5" ht="15.6" x14ac:dyDescent="0.3">
      <c r="B88" s="97" t="s">
        <v>98</v>
      </c>
      <c r="C88" s="79">
        <v>155</v>
      </c>
      <c r="D88" s="95">
        <v>0</v>
      </c>
      <c r="E88" s="95">
        <v>4443.8499999999995</v>
      </c>
    </row>
    <row r="89" spans="2:5" ht="15.6" x14ac:dyDescent="0.3">
      <c r="B89" s="97" t="s">
        <v>69</v>
      </c>
      <c r="C89" s="79">
        <v>100</v>
      </c>
      <c r="D89" s="95">
        <v>100</v>
      </c>
      <c r="E89" s="95">
        <v>604</v>
      </c>
    </row>
    <row r="90" spans="2:5" ht="15.6" x14ac:dyDescent="0.3">
      <c r="B90" s="97" t="s">
        <v>70</v>
      </c>
      <c r="C90" s="79">
        <v>230</v>
      </c>
      <c r="D90" s="95">
        <v>0</v>
      </c>
      <c r="E90" s="95">
        <v>2415</v>
      </c>
    </row>
    <row r="91" spans="2:5" ht="15.6" x14ac:dyDescent="0.3">
      <c r="B91" s="97" t="s">
        <v>104</v>
      </c>
      <c r="C91" s="79">
        <v>90</v>
      </c>
      <c r="D91" s="95">
        <v>100</v>
      </c>
      <c r="E91" s="95">
        <v>5320</v>
      </c>
    </row>
    <row r="92" spans="2:5" ht="15.6" x14ac:dyDescent="0.3">
      <c r="B92" s="94" t="s">
        <v>170</v>
      </c>
      <c r="C92" s="79">
        <v>5090</v>
      </c>
      <c r="D92" s="95">
        <v>940</v>
      </c>
      <c r="E92" s="95">
        <v>63749.7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CC6AE-6449-46DA-A153-6730B885320D}">
  <sheetPr codeName="Planilha10"/>
  <dimension ref="B2:M34"/>
  <sheetViews>
    <sheetView showGridLines="0" workbookViewId="0">
      <selection activeCell="J25" sqref="J25"/>
    </sheetView>
  </sheetViews>
  <sheetFormatPr defaultRowHeight="14.4" x14ac:dyDescent="0.3"/>
  <cols>
    <col min="1" max="1" width="25.5546875" customWidth="1"/>
    <col min="2" max="2" width="15" customWidth="1"/>
    <col min="3" max="3" width="16.5546875" customWidth="1"/>
    <col min="4" max="4" width="16.33203125" customWidth="1"/>
    <col min="5" max="5" width="10.33203125" customWidth="1"/>
    <col min="6" max="6" width="14.44140625" customWidth="1"/>
    <col min="7" max="7" width="18.109375" customWidth="1"/>
    <col min="8" max="8" width="13" customWidth="1"/>
    <col min="9" max="9" width="12.44140625" customWidth="1"/>
    <col min="10" max="10" width="11.44140625" customWidth="1"/>
    <col min="11" max="11" width="18.109375" customWidth="1"/>
    <col min="12" max="12" width="15.109375" customWidth="1"/>
    <col min="13" max="13" width="21.33203125" bestFit="1" customWidth="1"/>
    <col min="14" max="14" width="10.109375" bestFit="1" customWidth="1"/>
  </cols>
  <sheetData>
    <row r="2" spans="2:13" s="26" customFormat="1" ht="28.2" customHeight="1" x14ac:dyDescent="0.4">
      <c r="B2" s="24" t="s">
        <v>175</v>
      </c>
      <c r="C2" s="25"/>
      <c r="D2" s="25"/>
      <c r="E2" s="25"/>
      <c r="F2" s="25"/>
    </row>
    <row r="3" spans="2:13" ht="32.4" customHeight="1" x14ac:dyDescent="0.3"/>
    <row r="4" spans="2:13" x14ac:dyDescent="0.3">
      <c r="B4" t="s">
        <v>158</v>
      </c>
      <c r="C4" t="s">
        <v>23</v>
      </c>
      <c r="D4" t="s">
        <v>117</v>
      </c>
      <c r="E4" t="s">
        <v>63</v>
      </c>
      <c r="F4" t="s">
        <v>64</v>
      </c>
      <c r="G4" t="s">
        <v>65</v>
      </c>
      <c r="H4" t="s">
        <v>159</v>
      </c>
      <c r="I4" t="s">
        <v>66</v>
      </c>
      <c r="J4" t="s">
        <v>160</v>
      </c>
      <c r="K4" t="s">
        <v>161</v>
      </c>
      <c r="L4" t="s">
        <v>162</v>
      </c>
      <c r="M4" t="s">
        <v>163</v>
      </c>
    </row>
    <row r="5" spans="2:13" x14ac:dyDescent="0.3">
      <c r="B5">
        <v>7</v>
      </c>
      <c r="C5" s="6">
        <v>45886</v>
      </c>
      <c r="D5" t="s">
        <v>92</v>
      </c>
      <c r="E5" t="str">
        <f>IFERROR(VLOOKUP(Semana3[[#This Row],[Produto]],'Cálculos e Anotações'!$K$5:$N$34,4,0),"")</f>
        <v>Kg</v>
      </c>
      <c r="F5">
        <v>222</v>
      </c>
      <c r="G5" s="4">
        <f>IFERROR(VLOOKUP(Semana3[[#This Row],[Produto]],'Cálculos e Anotações'!$K$5:$N$34,3,0),0)</f>
        <v>9.9</v>
      </c>
      <c r="H5" s="4">
        <f>Semana3[[#This Row],[Quantidade]]*Semana3[[#This Row],[Preço Unitário]]</f>
        <v>2197.8000000000002</v>
      </c>
      <c r="I5" s="5">
        <v>0.04</v>
      </c>
      <c r="J5" t="s">
        <v>154</v>
      </c>
      <c r="K5" s="4">
        <f>IFERROR(IF(Semana3[[#This Row],[ID da Venda]]=B6,0,VLOOKUP(Semana3[[#This Row],[Entrega]],'Cálculos e Anotações'!$C$37:$D$41,2,FALSE)),0)</f>
        <v>0</v>
      </c>
      <c r="L5" s="4">
        <f>Semana3[[#This Row],[Subtotal]]*(1-Semana3[[#This Row],[Desconto]])+Semana3[[#This Row],[Taxa de Entrega]]</f>
        <v>2109.8879999999999</v>
      </c>
      <c r="M5" s="4" t="str">
        <f>IF(Semana3[[#This Row],[ID da Venda]]=B6,"",SUMIF(Semana3[ID da Venda],Semana3[[#This Row],[ID da Venda]],Semana3[Total]))</f>
        <v/>
      </c>
    </row>
    <row r="6" spans="2:13" x14ac:dyDescent="0.3">
      <c r="B6">
        <v>7</v>
      </c>
      <c r="C6" s="6">
        <v>45886</v>
      </c>
      <c r="D6" t="s">
        <v>96</v>
      </c>
      <c r="E6" t="str">
        <f>IFERROR(VLOOKUP(Semana3[[#This Row],[Produto]],'Cálculos e Anotações'!$K$5:$N$34,4,0),"")</f>
        <v>Unidade</v>
      </c>
      <c r="F6">
        <v>320</v>
      </c>
      <c r="G6" s="4">
        <f>IFERROR(VLOOKUP(Semana3[[#This Row],[Produto]],'Cálculos e Anotações'!$K$5:$N$34,3,0),0)</f>
        <v>3.15</v>
      </c>
      <c r="H6" s="4">
        <f>Semana3[[#This Row],[Quantidade]]*Semana3[[#This Row],[Preço Unitário]]</f>
        <v>1008</v>
      </c>
      <c r="I6" s="5">
        <v>0.2</v>
      </c>
      <c r="J6" t="s">
        <v>154</v>
      </c>
      <c r="K6" s="4">
        <f>IFERROR(IF(Semana3[[#This Row],[ID da Venda]]=B7,0,VLOOKUP(Semana3[[#This Row],[Entrega]],'Cálculos e Anotações'!$C$37:$D$41,2,FALSE)),0)</f>
        <v>0</v>
      </c>
      <c r="L6" s="4">
        <f>Semana3[[#This Row],[Subtotal]]*(1-Semana3[[#This Row],[Desconto]])+Semana3[[#This Row],[Taxa de Entrega]]</f>
        <v>806.40000000000009</v>
      </c>
      <c r="M6" s="4" t="str">
        <f>IF(Semana3[[#This Row],[ID da Venda]]=B7,"",SUMIF(Semana3[ID da Venda],Semana3[[#This Row],[ID da Venda]],Semana3[Total]))</f>
        <v/>
      </c>
    </row>
    <row r="7" spans="2:13" x14ac:dyDescent="0.3">
      <c r="B7">
        <v>7</v>
      </c>
      <c r="C7" s="6">
        <v>45886</v>
      </c>
      <c r="D7" t="s">
        <v>80</v>
      </c>
      <c r="E7" t="str">
        <f>IFERROR(VLOOKUP(Semana3[[#This Row],[Produto]],'Cálculos e Anotações'!$K$5:$N$34,4,0),"")</f>
        <v>Pacote</v>
      </c>
      <c r="F7">
        <v>200</v>
      </c>
      <c r="G7" s="4">
        <f>IFERROR(VLOOKUP(Semana3[[#This Row],[Produto]],'Cálculos e Anotações'!$K$5:$N$34,3,0),0)</f>
        <v>2.15</v>
      </c>
      <c r="H7" s="4">
        <f>Semana3[[#This Row],[Quantidade]]*Semana3[[#This Row],[Preço Unitário]]</f>
        <v>430</v>
      </c>
      <c r="I7" s="5"/>
      <c r="J7" t="s">
        <v>154</v>
      </c>
      <c r="K7" s="4">
        <f>IFERROR(IF(Semana3[[#This Row],[ID da Venda]]=B8,0,VLOOKUP(Semana3[[#This Row],[Entrega]],'Cálculos e Anotações'!$C$37:$D$41,2,FALSE)),0)</f>
        <v>190</v>
      </c>
      <c r="L7" s="4">
        <f>Semana3[[#This Row],[Subtotal]]*(1-Semana3[[#This Row],[Desconto]])+Semana3[[#This Row],[Taxa de Entrega]]</f>
        <v>620</v>
      </c>
      <c r="M7" s="4">
        <f>IF(Semana3[[#This Row],[ID da Venda]]=B8,"",SUMIF(Semana3[ID da Venda],Semana3[[#This Row],[ID da Venda]],Semana3[Total]))</f>
        <v>3536.288</v>
      </c>
    </row>
    <row r="8" spans="2:13" x14ac:dyDescent="0.3">
      <c r="B8">
        <v>6</v>
      </c>
      <c r="C8" s="6">
        <v>45885</v>
      </c>
      <c r="D8" t="s">
        <v>77</v>
      </c>
      <c r="E8" t="str">
        <f>IFERROR(VLOOKUP(Semana3[[#This Row],[Produto]],'Cálculos e Anotações'!$K$5:$N$34,4,0),"")</f>
        <v>Pacote</v>
      </c>
      <c r="F8">
        <v>210</v>
      </c>
      <c r="G8" s="4">
        <f>IFERROR(VLOOKUP(Semana3[[#This Row],[Produto]],'Cálculos e Anotações'!$K$5:$N$34,3,0),0)</f>
        <v>1.29</v>
      </c>
      <c r="H8" s="4">
        <f>Semana3[[#This Row],[Quantidade]]*Semana3[[#This Row],[Preço Unitário]]</f>
        <v>270.90000000000003</v>
      </c>
      <c r="I8" s="5"/>
      <c r="J8" t="s">
        <v>156</v>
      </c>
      <c r="K8" s="4">
        <f>IFERROR(IF(Semana3[[#This Row],[ID da Venda]]=B9,0,VLOOKUP(Semana3[[#This Row],[Entrega]],'Cálculos e Anotações'!$C$37:$D$41,2,FALSE)),0)</f>
        <v>0</v>
      </c>
      <c r="L8" s="4">
        <f>Semana3[[#This Row],[Subtotal]]*(1-Semana3[[#This Row],[Desconto]])+Semana3[[#This Row],[Taxa de Entrega]]</f>
        <v>270.90000000000003</v>
      </c>
      <c r="M8" s="4" t="str">
        <f>IF(Semana3[[#This Row],[ID da Venda]]=B9,"",SUMIF(Semana3[ID da Venda],Semana3[[#This Row],[ID da Venda]],Semana3[Total]))</f>
        <v/>
      </c>
    </row>
    <row r="9" spans="2:13" x14ac:dyDescent="0.3">
      <c r="B9">
        <v>6</v>
      </c>
      <c r="C9" s="6">
        <v>45885</v>
      </c>
      <c r="D9" t="s">
        <v>102</v>
      </c>
      <c r="E9" t="str">
        <f>IFERROR(VLOOKUP(Semana3[[#This Row],[Produto]],'Cálculos e Anotações'!$K$5:$N$34,4,0),"")</f>
        <v>Litro</v>
      </c>
      <c r="F9">
        <v>280</v>
      </c>
      <c r="G9" s="4">
        <f>IFERROR(VLOOKUP(Semana3[[#This Row],[Produto]],'Cálculos e Anotações'!$K$5:$N$34,3,0),0)</f>
        <v>3.8</v>
      </c>
      <c r="H9" s="4">
        <f>Semana3[[#This Row],[Quantidade]]*Semana3[[#This Row],[Preço Unitário]]</f>
        <v>1064</v>
      </c>
      <c r="I9" s="5">
        <v>7.0000000000000007E-2</v>
      </c>
      <c r="J9" t="s">
        <v>156</v>
      </c>
      <c r="K9" s="4">
        <f>IFERROR(IF(Semana3[[#This Row],[ID da Venda]]=B10,0,VLOOKUP(Semana3[[#This Row],[Entrega]],'Cálculos e Anotações'!$C$37:$D$41,2,FALSE)),0)</f>
        <v>0</v>
      </c>
      <c r="L9" s="4">
        <f>Semana3[[#This Row],[Subtotal]]*(1-Semana3[[#This Row],[Desconto]])+Semana3[[#This Row],[Taxa de Entrega]]</f>
        <v>989.52</v>
      </c>
      <c r="M9" s="4" t="str">
        <f>IF(Semana3[[#This Row],[ID da Venda]]=B10,"",SUMIF(Semana3[ID da Venda],Semana3[[#This Row],[ID da Venda]],Semana3[Total]))</f>
        <v/>
      </c>
    </row>
    <row r="10" spans="2:13" x14ac:dyDescent="0.3">
      <c r="B10">
        <v>6</v>
      </c>
      <c r="C10" s="6">
        <v>45885</v>
      </c>
      <c r="D10" t="s">
        <v>84</v>
      </c>
      <c r="E10" t="str">
        <f>IFERROR(VLOOKUP(Semana3[[#This Row],[Produto]],'Cálculos e Anotações'!$K$5:$N$34,4,0),"")</f>
        <v>Pacote</v>
      </c>
      <c r="F10">
        <v>200</v>
      </c>
      <c r="G10" s="4">
        <f>IFERROR(VLOOKUP(Semana3[[#This Row],[Produto]],'Cálculos e Anotações'!$K$5:$N$34,3,0),0)</f>
        <v>0.95</v>
      </c>
      <c r="H10" s="4">
        <f>Semana3[[#This Row],[Quantidade]]*Semana3[[#This Row],[Preço Unitário]]</f>
        <v>190</v>
      </c>
      <c r="I10" s="5"/>
      <c r="J10" t="s">
        <v>156</v>
      </c>
      <c r="K10" s="4">
        <f>IFERROR(IF(Semana3[[#This Row],[ID da Venda]]=B11,0,VLOOKUP(Semana3[[#This Row],[Entrega]],'Cálculos e Anotações'!$C$37:$D$41,2,FALSE)),0)</f>
        <v>150</v>
      </c>
      <c r="L10" s="4">
        <f>Semana3[[#This Row],[Subtotal]]*(1-Semana3[[#This Row],[Desconto]])+Semana3[[#This Row],[Taxa de Entrega]]</f>
        <v>340</v>
      </c>
      <c r="M10" s="4">
        <f>IF(Semana3[[#This Row],[ID da Venda]]=B11,"",SUMIF(Semana3[ID da Venda],Semana3[[#This Row],[ID da Venda]],Semana3[Total]))</f>
        <v>1600.42</v>
      </c>
    </row>
    <row r="11" spans="2:13" x14ac:dyDescent="0.3">
      <c r="B11">
        <v>5</v>
      </c>
      <c r="C11" s="6">
        <v>45884</v>
      </c>
      <c r="D11" t="s">
        <v>85</v>
      </c>
      <c r="E11" t="str">
        <f>IFERROR(VLOOKUP(Semana3[[#This Row],[Produto]],'Cálculos e Anotações'!$K$5:$N$34,4,0),"")</f>
        <v>Kg</v>
      </c>
      <c r="F11">
        <v>10</v>
      </c>
      <c r="G11" s="4">
        <f>IFERROR(VLOOKUP(Semana3[[#This Row],[Produto]],'Cálculos e Anotações'!$K$5:$N$34,3,0),0)</f>
        <v>4.3499999999999996</v>
      </c>
      <c r="H11" s="4">
        <f>Semana3[[#This Row],[Quantidade]]*Semana3[[#This Row],[Preço Unitário]]</f>
        <v>43.5</v>
      </c>
      <c r="I11" s="5"/>
      <c r="J11" t="s">
        <v>152</v>
      </c>
      <c r="K11" s="4">
        <f>IFERROR(IF(Semana3[[#This Row],[ID da Venda]]=B12,0,VLOOKUP(Semana3[[#This Row],[Entrega]],'Cálculos e Anotações'!$C$37:$D$41,2,FALSE)),0)</f>
        <v>0</v>
      </c>
      <c r="L11" s="4">
        <f>Semana3[[#This Row],[Subtotal]]*(1-Semana3[[#This Row],[Desconto]])+Semana3[[#This Row],[Taxa de Entrega]]</f>
        <v>43.5</v>
      </c>
      <c r="M11" s="4" t="str">
        <f>IF(Semana3[[#This Row],[ID da Venda]]=B12,"",SUMIF(Semana3[ID da Venda],Semana3[[#This Row],[ID da Venda]],Semana3[Total]))</f>
        <v/>
      </c>
    </row>
    <row r="12" spans="2:13" x14ac:dyDescent="0.3">
      <c r="B12">
        <v>5</v>
      </c>
      <c r="C12" s="6">
        <v>45884</v>
      </c>
      <c r="D12" t="s">
        <v>88</v>
      </c>
      <c r="E12" t="str">
        <f>IFERROR(VLOOKUP(Semana3[[#This Row],[Produto]],'Cálculos e Anotações'!$K$5:$N$34,4,0),"")</f>
        <v>Maço</v>
      </c>
      <c r="F12">
        <v>60</v>
      </c>
      <c r="G12" s="4">
        <f>IFERROR(VLOOKUP(Semana3[[#This Row],[Produto]],'Cálculos e Anotações'!$K$5:$N$34,3,0),0)</f>
        <v>7.1</v>
      </c>
      <c r="H12" s="4">
        <f>Semana3[[#This Row],[Quantidade]]*Semana3[[#This Row],[Preço Unitário]]</f>
        <v>426</v>
      </c>
      <c r="I12" s="5"/>
      <c r="J12" t="s">
        <v>152</v>
      </c>
      <c r="K12" s="4">
        <f>IFERROR(IF(Semana3[[#This Row],[ID da Venda]]=B13,0,VLOOKUP(Semana3[[#This Row],[Entrega]],'Cálculos e Anotações'!$C$37:$D$41,2,FALSE)),0)</f>
        <v>0</v>
      </c>
      <c r="L12" s="4">
        <f>Semana3[[#This Row],[Subtotal]]*(1-Semana3[[#This Row],[Desconto]])+Semana3[[#This Row],[Taxa de Entrega]]</f>
        <v>426</v>
      </c>
      <c r="M12" s="4" t="str">
        <f>IF(Semana3[[#This Row],[ID da Venda]]=B13,"",SUMIF(Semana3[ID da Venda],Semana3[[#This Row],[ID da Venda]],Semana3[Total]))</f>
        <v/>
      </c>
    </row>
    <row r="13" spans="2:13" x14ac:dyDescent="0.3">
      <c r="B13">
        <v>5</v>
      </c>
      <c r="C13" s="6">
        <v>45884</v>
      </c>
      <c r="D13" t="s">
        <v>72</v>
      </c>
      <c r="E13" t="str">
        <f>IFERROR(VLOOKUP(Semana3[[#This Row],[Produto]],'Cálculos e Anotações'!$K$5:$N$34,4,0),"")</f>
        <v>Kg</v>
      </c>
      <c r="F13">
        <v>5</v>
      </c>
      <c r="G13" s="4">
        <f>IFERROR(VLOOKUP(Semana3[[#This Row],[Produto]],'Cálculos e Anotações'!$K$5:$N$34,3,0),0)</f>
        <v>30.9</v>
      </c>
      <c r="H13" s="4">
        <f>Semana3[[#This Row],[Quantidade]]*Semana3[[#This Row],[Preço Unitário]]</f>
        <v>154.5</v>
      </c>
      <c r="I13" s="5"/>
      <c r="J13" t="s">
        <v>152</v>
      </c>
      <c r="K13" s="4">
        <f>IFERROR(IF(Semana3[[#This Row],[ID da Venda]]=B14,0,VLOOKUP(Semana3[[#This Row],[Entrega]],'Cálculos e Anotações'!$C$37:$D$41,2,FALSE)),0)</f>
        <v>0</v>
      </c>
      <c r="L13" s="4">
        <f>Semana3[[#This Row],[Subtotal]]*(1-Semana3[[#This Row],[Desconto]])+Semana3[[#This Row],[Taxa de Entrega]]</f>
        <v>154.5</v>
      </c>
      <c r="M13" s="4">
        <f>IF(Semana3[[#This Row],[ID da Venda]]=B14,"",SUMIF(Semana3[ID da Venda],Semana3[[#This Row],[ID da Venda]],Semana3[Total]))</f>
        <v>624</v>
      </c>
    </row>
    <row r="14" spans="2:13" x14ac:dyDescent="0.3">
      <c r="B14">
        <v>4</v>
      </c>
      <c r="C14" s="6">
        <v>45883</v>
      </c>
      <c r="D14" t="s">
        <v>89</v>
      </c>
      <c r="E14" t="str">
        <f>IFERROR(VLOOKUP(Semana3[[#This Row],[Produto]],'Cálculos e Anotações'!$K$5:$N$34,4,0),"")</f>
        <v>Unidade</v>
      </c>
      <c r="F14">
        <v>280</v>
      </c>
      <c r="G14" s="4">
        <f>IFERROR(VLOOKUP(Semana3[[#This Row],[Produto]],'Cálculos e Anotações'!$K$5:$N$34,3,0),0)</f>
        <v>2.8</v>
      </c>
      <c r="H14" s="4">
        <f>Semana3[[#This Row],[Quantidade]]*Semana3[[#This Row],[Preço Unitário]]</f>
        <v>784</v>
      </c>
      <c r="I14" s="5"/>
      <c r="J14" t="s">
        <v>153</v>
      </c>
      <c r="K14" s="4">
        <f>IFERROR(IF(Semana3[[#This Row],[ID da Venda]]=B15,0,VLOOKUP(Semana3[[#This Row],[Entrega]],'Cálculos e Anotações'!$C$37:$D$41,2,FALSE)),0)</f>
        <v>0</v>
      </c>
      <c r="L14" s="4">
        <f>Semana3[[#This Row],[Subtotal]]*(1-Semana3[[#This Row],[Desconto]])+Semana3[[#This Row],[Taxa de Entrega]]</f>
        <v>784</v>
      </c>
      <c r="M14" s="4" t="str">
        <f>IF(Semana3[[#This Row],[ID da Venda]]=B15,"",SUMIF(Semana3[ID da Venda],Semana3[[#This Row],[ID da Venda]],Semana3[Total]))</f>
        <v/>
      </c>
    </row>
    <row r="15" spans="2:13" x14ac:dyDescent="0.3">
      <c r="B15">
        <v>4</v>
      </c>
      <c r="C15" s="6">
        <v>45883</v>
      </c>
      <c r="D15" t="s">
        <v>74</v>
      </c>
      <c r="E15" t="str">
        <f>IFERROR(VLOOKUP(Semana3[[#This Row],[Produto]],'Cálculos e Anotações'!$K$5:$N$34,4,0),"")</f>
        <v>Lata</v>
      </c>
      <c r="F15">
        <v>400</v>
      </c>
      <c r="G15" s="4">
        <f>IFERROR(VLOOKUP(Semana3[[#This Row],[Produto]],'Cálculos e Anotações'!$K$5:$N$34,3,0),0)</f>
        <v>2.75</v>
      </c>
      <c r="H15" s="4">
        <f>Semana3[[#This Row],[Quantidade]]*Semana3[[#This Row],[Preço Unitário]]</f>
        <v>1100</v>
      </c>
      <c r="I15" s="5"/>
      <c r="J15" t="s">
        <v>153</v>
      </c>
      <c r="K15" s="4">
        <f>IFERROR(IF(Semana3[[#This Row],[ID da Venda]]=B16,0,VLOOKUP(Semana3[[#This Row],[Entrega]],'Cálculos e Anotações'!$C$37:$D$41,2,FALSE)),0)</f>
        <v>0</v>
      </c>
      <c r="L15" s="4">
        <f>Semana3[[#This Row],[Subtotal]]*(1-Semana3[[#This Row],[Desconto]])+Semana3[[#This Row],[Taxa de Entrega]]</f>
        <v>1100</v>
      </c>
      <c r="M15" s="4" t="str">
        <f>IF(Semana3[[#This Row],[ID da Venda]]=B16,"",SUMIF(Semana3[ID da Venda],Semana3[[#This Row],[ID da Venda]],Semana3[Total]))</f>
        <v/>
      </c>
    </row>
    <row r="16" spans="2:13" x14ac:dyDescent="0.3">
      <c r="B16">
        <v>4</v>
      </c>
      <c r="C16" s="6">
        <v>45883</v>
      </c>
      <c r="D16" t="s">
        <v>69</v>
      </c>
      <c r="E16" t="str">
        <f>IFERROR(VLOOKUP(Semana3[[#This Row],[Produto]],'Cálculos e Anotações'!$K$5:$N$34,4,0),"")</f>
        <v>Kg</v>
      </c>
      <c r="F16">
        <v>240</v>
      </c>
      <c r="G16" s="4">
        <f>IFERROR(VLOOKUP(Semana3[[#This Row],[Produto]],'Cálculos e Anotações'!$K$5:$N$34,3,0),0)</f>
        <v>6.3</v>
      </c>
      <c r="H16" s="4">
        <f>Semana3[[#This Row],[Quantidade]]*Semana3[[#This Row],[Preço Unitário]]</f>
        <v>1512</v>
      </c>
      <c r="I16" s="5">
        <v>0.13</v>
      </c>
      <c r="J16" t="s">
        <v>153</v>
      </c>
      <c r="K16" s="4">
        <f>IFERROR(IF(Semana3[[#This Row],[ID da Venda]]=B17,0,VLOOKUP(Semana3[[#This Row],[Entrega]],'Cálculos e Anotações'!$C$37:$D$41,2,FALSE)),0)</f>
        <v>100</v>
      </c>
      <c r="L16" s="4">
        <f>Semana3[[#This Row],[Subtotal]]*(1-Semana3[[#This Row],[Desconto]])+Semana3[[#This Row],[Taxa de Entrega]]</f>
        <v>1415.44</v>
      </c>
      <c r="M16" s="4">
        <f>IF(Semana3[[#This Row],[ID da Venda]]=B17,"",SUMIF(Semana3[ID da Venda],Semana3[[#This Row],[ID da Venda]],Semana3[Total]))</f>
        <v>3299.44</v>
      </c>
    </row>
    <row r="17" spans="2:13" x14ac:dyDescent="0.3">
      <c r="B17">
        <v>3</v>
      </c>
      <c r="C17" s="6">
        <v>45882</v>
      </c>
      <c r="D17" t="s">
        <v>94</v>
      </c>
      <c r="E17" t="str">
        <f>IFERROR(VLOOKUP(Semana3[[#This Row],[Produto]],'Cálculos e Anotações'!$K$5:$N$34,4,0),"")</f>
        <v>Litro</v>
      </c>
      <c r="F17">
        <v>185</v>
      </c>
      <c r="G17" s="4">
        <f>IFERROR(VLOOKUP(Semana3[[#This Row],[Produto]],'Cálculos e Anotações'!$K$5:$N$34,3,0),0)</f>
        <v>4.3899999999999997</v>
      </c>
      <c r="H17" s="4">
        <f>Semana3[[#This Row],[Quantidade]]*Semana3[[#This Row],[Preço Unitário]]</f>
        <v>812.15</v>
      </c>
      <c r="I17" s="5"/>
      <c r="J17" t="s">
        <v>154</v>
      </c>
      <c r="K17" s="4">
        <f>IFERROR(IF(Semana3[[#This Row],[ID da Venda]]=B18,0,VLOOKUP(Semana3[[#This Row],[Entrega]],'Cálculos e Anotações'!$C$37:$D$41,2,FALSE)),0)</f>
        <v>0</v>
      </c>
      <c r="L17" s="4">
        <f>Semana3[[#This Row],[Subtotal]]*(1-Semana3[[#This Row],[Desconto]])+Semana3[[#This Row],[Taxa de Entrega]]</f>
        <v>812.15</v>
      </c>
      <c r="M17" s="4" t="str">
        <f>IF(Semana3[[#This Row],[ID da Venda]]=B18,"",SUMIF(Semana3[ID da Venda],Semana3[[#This Row],[ID da Venda]],Semana3[Total]))</f>
        <v/>
      </c>
    </row>
    <row r="18" spans="2:13" x14ac:dyDescent="0.3">
      <c r="B18">
        <v>3</v>
      </c>
      <c r="C18" s="6">
        <v>45882</v>
      </c>
      <c r="D18" t="s">
        <v>78</v>
      </c>
      <c r="E18" t="str">
        <f>IFERROR(VLOOKUP(Semana3[[#This Row],[Produto]],'Cálculos e Anotações'!$K$5:$N$34,4,0),"")</f>
        <v>Kg</v>
      </c>
      <c r="F18">
        <v>250</v>
      </c>
      <c r="G18" s="4">
        <f>IFERROR(VLOOKUP(Semana3[[#This Row],[Produto]],'Cálculos e Anotações'!$K$5:$N$34,3,0),0)</f>
        <v>5.3</v>
      </c>
      <c r="H18" s="4">
        <f>Semana3[[#This Row],[Quantidade]]*Semana3[[#This Row],[Preço Unitário]]</f>
        <v>1325</v>
      </c>
      <c r="I18" s="5"/>
      <c r="J18" t="s">
        <v>154</v>
      </c>
      <c r="K18" s="4">
        <f>IFERROR(IF(Semana3[[#This Row],[ID da Venda]]=B19,0,VLOOKUP(Semana3[[#This Row],[Entrega]],'Cálculos e Anotações'!$C$37:$D$41,2,FALSE)),0)</f>
        <v>0</v>
      </c>
      <c r="L18" s="4">
        <f>Semana3[[#This Row],[Subtotal]]*(1-Semana3[[#This Row],[Desconto]])+Semana3[[#This Row],[Taxa de Entrega]]</f>
        <v>1325</v>
      </c>
      <c r="M18" s="4" t="str">
        <f>IF(Semana3[[#This Row],[ID da Venda]]=B19,"",SUMIF(Semana3[ID da Venda],Semana3[[#This Row],[ID da Venda]],Semana3[Total]))</f>
        <v/>
      </c>
    </row>
    <row r="19" spans="2:13" x14ac:dyDescent="0.3">
      <c r="B19">
        <v>3</v>
      </c>
      <c r="C19" s="6">
        <v>45882</v>
      </c>
      <c r="D19" t="s">
        <v>74</v>
      </c>
      <c r="E19" t="str">
        <f>IFERROR(VLOOKUP(Semana3[[#This Row],[Produto]],'Cálculos e Anotações'!$K$5:$N$34,4,0),"")</f>
        <v>Lata</v>
      </c>
      <c r="F19">
        <v>520</v>
      </c>
      <c r="G19" s="4">
        <f>IFERROR(VLOOKUP(Semana3[[#This Row],[Produto]],'Cálculos e Anotações'!$K$5:$N$34,3,0),0)</f>
        <v>2.75</v>
      </c>
      <c r="H19" s="4">
        <f>Semana3[[#This Row],[Quantidade]]*Semana3[[#This Row],[Preço Unitário]]</f>
        <v>1430</v>
      </c>
      <c r="I19" s="5">
        <v>0.09</v>
      </c>
      <c r="J19" t="s">
        <v>154</v>
      </c>
      <c r="K19" s="4">
        <f>IFERROR(IF(Semana3[[#This Row],[ID da Venda]]=B20,0,VLOOKUP(Semana3[[#This Row],[Entrega]],'Cálculos e Anotações'!$C$37:$D$41,2,FALSE)),0)</f>
        <v>0</v>
      </c>
      <c r="L19" s="4">
        <f>Semana3[[#This Row],[Subtotal]]*(1-Semana3[[#This Row],[Desconto]])+Semana3[[#This Row],[Taxa de Entrega]]</f>
        <v>1301.3</v>
      </c>
      <c r="M19" s="4" t="str">
        <f>IF(Semana3[[#This Row],[ID da Venda]]=B20,"",SUMIF(Semana3[ID da Venda],Semana3[[#This Row],[ID da Venda]],Semana3[Total]))</f>
        <v/>
      </c>
    </row>
    <row r="20" spans="2:13" x14ac:dyDescent="0.3">
      <c r="B20">
        <v>3</v>
      </c>
      <c r="C20" s="6">
        <v>45882</v>
      </c>
      <c r="D20" t="s">
        <v>72</v>
      </c>
      <c r="E20" t="str">
        <f>IFERROR(VLOOKUP(Semana3[[#This Row],[Produto]],'Cálculos e Anotações'!$K$5:$N$34,4,0),"")</f>
        <v>Kg</v>
      </c>
      <c r="F20">
        <v>123</v>
      </c>
      <c r="G20" s="4">
        <f>IFERROR(VLOOKUP(Semana3[[#This Row],[Produto]],'Cálculos e Anotações'!$K$5:$N$34,3,0),0)</f>
        <v>30.9</v>
      </c>
      <c r="H20" s="4">
        <f>Semana3[[#This Row],[Quantidade]]*Semana3[[#This Row],[Preço Unitário]]</f>
        <v>3800.7</v>
      </c>
      <c r="I20" s="5"/>
      <c r="J20" t="s">
        <v>154</v>
      </c>
      <c r="K20" s="4">
        <f>IFERROR(IF(Semana3[[#This Row],[ID da Venda]]=B21,0,VLOOKUP(Semana3[[#This Row],[Entrega]],'Cálculos e Anotações'!$C$37:$D$41,2,FALSE)),0)</f>
        <v>0</v>
      </c>
      <c r="L20" s="4">
        <f>Semana3[[#This Row],[Subtotal]]*(1-Semana3[[#This Row],[Desconto]])+Semana3[[#This Row],[Taxa de Entrega]]</f>
        <v>3800.7</v>
      </c>
      <c r="M20" s="4" t="str">
        <f>IF(Semana3[[#This Row],[ID da Venda]]=B21,"",SUMIF(Semana3[ID da Venda],Semana3[[#This Row],[ID da Venda]],Semana3[Total]))</f>
        <v/>
      </c>
    </row>
    <row r="21" spans="2:13" x14ac:dyDescent="0.3">
      <c r="B21">
        <v>3</v>
      </c>
      <c r="C21" s="6">
        <v>45882</v>
      </c>
      <c r="D21" t="s">
        <v>72</v>
      </c>
      <c r="E21" t="str">
        <f>IFERROR(VLOOKUP(Semana3[[#This Row],[Produto]],'Cálculos e Anotações'!$K$5:$N$34,4,0),"")</f>
        <v>Kg</v>
      </c>
      <c r="F21">
        <v>180</v>
      </c>
      <c r="G21" s="4">
        <f>IFERROR(VLOOKUP(Semana3[[#This Row],[Produto]],'Cálculos e Anotações'!$K$5:$N$34,3,0),0)</f>
        <v>30.9</v>
      </c>
      <c r="H21" s="4">
        <f>Semana3[[#This Row],[Quantidade]]*Semana3[[#This Row],[Preço Unitário]]</f>
        <v>5562</v>
      </c>
      <c r="I21" s="5">
        <v>0.05</v>
      </c>
      <c r="J21" t="s">
        <v>154</v>
      </c>
      <c r="K21" s="4">
        <f>IFERROR(IF(Semana3[[#This Row],[ID da Venda]]=B22,0,VLOOKUP(Semana3[[#This Row],[Entrega]],'Cálculos e Anotações'!$C$37:$D$41,2,FALSE)),0)</f>
        <v>190</v>
      </c>
      <c r="L21" s="4">
        <f>Semana3[[#This Row],[Subtotal]]*(1-Semana3[[#This Row],[Desconto]])+Semana3[[#This Row],[Taxa de Entrega]]</f>
        <v>5473.9</v>
      </c>
      <c r="M21" s="4">
        <f>IF(Semana3[[#This Row],[ID da Venda]]=B22,"",SUMIF(Semana3[ID da Venda],Semana3[[#This Row],[ID da Venda]],Semana3[Total]))</f>
        <v>12713.05</v>
      </c>
    </row>
    <row r="22" spans="2:13" x14ac:dyDescent="0.3">
      <c r="B22">
        <v>2</v>
      </c>
      <c r="C22" s="6">
        <v>45881</v>
      </c>
      <c r="D22" t="s">
        <v>78</v>
      </c>
      <c r="E22" t="str">
        <f>IFERROR(VLOOKUP(Semana3[[#This Row],[Produto]],'Cálculos e Anotações'!$K$5:$N$34,4,0),"")</f>
        <v>Kg</v>
      </c>
      <c r="F22">
        <v>290</v>
      </c>
      <c r="G22" s="4">
        <f>IFERROR(VLOOKUP(Semana3[[#This Row],[Produto]],'Cálculos e Anotações'!$K$5:$N$34,3,0),0)</f>
        <v>5.3</v>
      </c>
      <c r="H22" s="4">
        <f>Semana3[[#This Row],[Quantidade]]*Semana3[[#This Row],[Preço Unitário]]</f>
        <v>1537</v>
      </c>
      <c r="I22" s="5"/>
      <c r="J22" t="s">
        <v>153</v>
      </c>
      <c r="K22" s="4">
        <f>IFERROR(IF(Semana3[[#This Row],[ID da Venda]]=B23,0,VLOOKUP(Semana3[[#This Row],[Entrega]],'Cálculos e Anotações'!$C$37:$D$41,2,FALSE)),0)</f>
        <v>0</v>
      </c>
      <c r="L22" s="4">
        <f>Semana3[[#This Row],[Subtotal]]*(1-Semana3[[#This Row],[Desconto]])+Semana3[[#This Row],[Taxa de Entrega]]</f>
        <v>1537</v>
      </c>
      <c r="M22" s="4" t="str">
        <f>IF(Semana3[[#This Row],[ID da Venda]]=B23,"",SUMIF(Semana3[ID da Venda],Semana3[[#This Row],[ID da Venda]],Semana3[Total]))</f>
        <v/>
      </c>
    </row>
    <row r="23" spans="2:13" x14ac:dyDescent="0.3">
      <c r="B23">
        <v>2</v>
      </c>
      <c r="C23" s="6">
        <v>45881</v>
      </c>
      <c r="D23" t="s">
        <v>75</v>
      </c>
      <c r="E23" t="str">
        <f>IFERROR(VLOOKUP(Semana3[[#This Row],[Produto]],'Cálculos e Anotações'!$K$5:$N$34,4,0),"")</f>
        <v>Unidade</v>
      </c>
      <c r="F23">
        <v>340</v>
      </c>
      <c r="G23" s="4">
        <f>IFERROR(VLOOKUP(Semana3[[#This Row],[Produto]],'Cálculos e Anotações'!$K$5:$N$34,3,0),0)</f>
        <v>3.45</v>
      </c>
      <c r="H23" s="4">
        <f>Semana3[[#This Row],[Quantidade]]*Semana3[[#This Row],[Preço Unitário]]</f>
        <v>1173</v>
      </c>
      <c r="I23" s="5"/>
      <c r="J23" t="s">
        <v>153</v>
      </c>
      <c r="K23" s="4">
        <f>IFERROR(IF(Semana3[[#This Row],[ID da Venda]]=B24,0,VLOOKUP(Semana3[[#This Row],[Entrega]],'Cálculos e Anotações'!$C$37:$D$41,2,FALSE)),0)</f>
        <v>0</v>
      </c>
      <c r="L23" s="4">
        <f>Semana3[[#This Row],[Subtotal]]*(1-Semana3[[#This Row],[Desconto]])+Semana3[[#This Row],[Taxa de Entrega]]</f>
        <v>1173</v>
      </c>
      <c r="M23" s="4" t="str">
        <f>IF(Semana3[[#This Row],[ID da Venda]]=B24,"",SUMIF(Semana3[ID da Venda],Semana3[[#This Row],[ID da Venda]],Semana3[Total]))</f>
        <v/>
      </c>
    </row>
    <row r="24" spans="2:13" x14ac:dyDescent="0.3">
      <c r="B24">
        <v>2</v>
      </c>
      <c r="C24" s="6">
        <v>45881</v>
      </c>
      <c r="D24" t="s">
        <v>82</v>
      </c>
      <c r="E24" t="str">
        <f>IFERROR(VLOOKUP(Semana3[[#This Row],[Produto]],'Cálculos e Anotações'!$K$5:$N$34,4,0),"")</f>
        <v>Pacote</v>
      </c>
      <c r="F24">
        <v>350</v>
      </c>
      <c r="G24" s="4">
        <f>IFERROR(VLOOKUP(Semana3[[#This Row],[Produto]],'Cálculos e Anotações'!$K$5:$N$34,3,0),0)</f>
        <v>1.35</v>
      </c>
      <c r="H24" s="4">
        <f>Semana3[[#This Row],[Quantidade]]*Semana3[[#This Row],[Preço Unitário]]</f>
        <v>472.50000000000006</v>
      </c>
      <c r="I24" s="5"/>
      <c r="J24" t="s">
        <v>153</v>
      </c>
      <c r="K24" s="4">
        <f>IFERROR(IF(Semana3[[#This Row],[ID da Venda]]=B25,0,VLOOKUP(Semana3[[#This Row],[Entrega]],'Cálculos e Anotações'!$C$37:$D$41,2,FALSE)),0)</f>
        <v>0</v>
      </c>
      <c r="L24" s="4">
        <f>Semana3[[#This Row],[Subtotal]]*(1-Semana3[[#This Row],[Desconto]])+Semana3[[#This Row],[Taxa de Entrega]]</f>
        <v>472.50000000000006</v>
      </c>
      <c r="M24" s="4" t="str">
        <f>IF(Semana3[[#This Row],[ID da Venda]]=B25,"",SUMIF(Semana3[ID da Venda],Semana3[[#This Row],[ID da Venda]],Semana3[Total]))</f>
        <v/>
      </c>
    </row>
    <row r="25" spans="2:13" x14ac:dyDescent="0.3">
      <c r="B25">
        <v>2</v>
      </c>
      <c r="C25" s="6">
        <v>45881</v>
      </c>
      <c r="D25" t="s">
        <v>101</v>
      </c>
      <c r="E25" t="str">
        <f>IFERROR(VLOOKUP(Semana3[[#This Row],[Produto]],'Cálculos e Anotações'!$K$5:$N$34,4,0),"")</f>
        <v>Litro</v>
      </c>
      <c r="F25">
        <v>450</v>
      </c>
      <c r="G25" s="4">
        <f>IFERROR(VLOOKUP(Semana3[[#This Row],[Produto]],'Cálculos e Anotações'!$K$5:$N$34,3,0),0)</f>
        <v>2.65</v>
      </c>
      <c r="H25" s="4">
        <f>Semana3[[#This Row],[Quantidade]]*Semana3[[#This Row],[Preço Unitário]]</f>
        <v>1192.5</v>
      </c>
      <c r="I25" s="5"/>
      <c r="J25" t="s">
        <v>153</v>
      </c>
      <c r="K25" s="4">
        <f>IFERROR(IF(Semana3[[#This Row],[ID da Venda]]=B26,0,VLOOKUP(Semana3[[#This Row],[Entrega]],'Cálculos e Anotações'!$C$37:$D$41,2,FALSE)),0)</f>
        <v>100</v>
      </c>
      <c r="L25" s="4">
        <f>Semana3[[#This Row],[Subtotal]]*(1-Semana3[[#This Row],[Desconto]])+Semana3[[#This Row],[Taxa de Entrega]]</f>
        <v>1292.5</v>
      </c>
      <c r="M25" s="4">
        <f>IF(Semana3[[#This Row],[ID da Venda]]=B26,"",SUMIF(Semana3[ID da Venda],Semana3[[#This Row],[ID da Venda]],Semana3[Total]))</f>
        <v>4475</v>
      </c>
    </row>
    <row r="26" spans="2:13" x14ac:dyDescent="0.3">
      <c r="B26">
        <v>1</v>
      </c>
      <c r="C26" s="6">
        <v>45880</v>
      </c>
      <c r="D26" t="s">
        <v>100</v>
      </c>
      <c r="E26" t="str">
        <f>IFERROR(VLOOKUP(Semana3[[#This Row],[Produto]],'Cálculos e Anotações'!$K$5:$N$34,4,0),"")</f>
        <v>Kg</v>
      </c>
      <c r="F26">
        <v>240</v>
      </c>
      <c r="G26" s="4">
        <f>IFERROR(VLOOKUP(Semana3[[#This Row],[Produto]],'Cálculos e Anotações'!$K$5:$N$34,3,0),0)</f>
        <v>32</v>
      </c>
      <c r="H26" s="4">
        <f>Semana3[[#This Row],[Quantidade]]*Semana3[[#This Row],[Preço Unitário]]</f>
        <v>7680</v>
      </c>
      <c r="I26" s="5">
        <v>0.08</v>
      </c>
      <c r="J26" t="s">
        <v>155</v>
      </c>
      <c r="K26" s="4">
        <f>IFERROR(IF(Semana3[[#This Row],[ID da Venda]]=B27,0,VLOOKUP(Semana3[[#This Row],[Entrega]],'Cálculos e Anotações'!$C$37:$D$41,2,FALSE)),0)</f>
        <v>0</v>
      </c>
      <c r="L26" s="4">
        <f>Semana3[[#This Row],[Subtotal]]*(1-Semana3[[#This Row],[Desconto]])+Semana3[[#This Row],[Taxa de Entrega]]</f>
        <v>7065.6</v>
      </c>
      <c r="M26" s="4" t="str">
        <f>IF(Semana3[[#This Row],[ID da Venda]]=B27,"",SUMIF(Semana3[ID da Venda],Semana3[[#This Row],[ID da Venda]],Semana3[Total]))</f>
        <v/>
      </c>
    </row>
    <row r="27" spans="2:13" x14ac:dyDescent="0.3">
      <c r="B27">
        <v>1</v>
      </c>
      <c r="C27" s="6">
        <v>45880</v>
      </c>
      <c r="D27" t="s">
        <v>90</v>
      </c>
      <c r="E27" t="str">
        <f>IFERROR(VLOOKUP(Semana3[[#This Row],[Produto]],'Cálculos e Anotações'!$K$5:$N$34,4,0),"")</f>
        <v>Kg</v>
      </c>
      <c r="F27">
        <v>254</v>
      </c>
      <c r="G27" s="4">
        <f>IFERROR(VLOOKUP(Semana3[[#This Row],[Produto]],'Cálculos e Anotações'!$K$5:$N$34,3,0),0)</f>
        <v>6.8</v>
      </c>
      <c r="H27" s="4">
        <f>Semana3[[#This Row],[Quantidade]]*Semana3[[#This Row],[Preço Unitário]]</f>
        <v>1727.2</v>
      </c>
      <c r="I27" s="5"/>
      <c r="J27" t="s">
        <v>155</v>
      </c>
      <c r="K27" s="4">
        <f>IFERROR(IF(Semana3[[#This Row],[ID da Venda]]=B28,0,VLOOKUP(Semana3[[#This Row],[Entrega]],'Cálculos e Anotações'!$C$37:$D$41,2,FALSE)),0)</f>
        <v>0</v>
      </c>
      <c r="L27" s="4">
        <f>Semana3[[#This Row],[Subtotal]]*(1-Semana3[[#This Row],[Desconto]])+Semana3[[#This Row],[Taxa de Entrega]]</f>
        <v>1727.2</v>
      </c>
      <c r="M27" s="4" t="str">
        <f>IF(Semana3[[#This Row],[ID da Venda]]=B28,"",SUMIF(Semana3[ID da Venda],Semana3[[#This Row],[ID da Venda]],Semana3[Total]))</f>
        <v/>
      </c>
    </row>
    <row r="28" spans="2:13" x14ac:dyDescent="0.3">
      <c r="B28">
        <v>1</v>
      </c>
      <c r="C28" s="6">
        <v>45880</v>
      </c>
      <c r="D28" t="s">
        <v>104</v>
      </c>
      <c r="E28" t="str">
        <f>IFERROR(VLOOKUP(Semana3[[#This Row],[Produto]],'Cálculos e Anotações'!$K$5:$N$34,4,0),"")</f>
        <v>Garrafa</v>
      </c>
      <c r="F28">
        <v>190</v>
      </c>
      <c r="G28" s="4">
        <f>IFERROR(VLOOKUP(Semana3[[#This Row],[Produto]],'Cálculos e Anotações'!$K$5:$N$34,3,0),0)</f>
        <v>58</v>
      </c>
      <c r="H28" s="4">
        <f>Semana3[[#This Row],[Quantidade]]*Semana3[[#This Row],[Preço Unitário]]</f>
        <v>11020</v>
      </c>
      <c r="I28" s="5">
        <v>0.03</v>
      </c>
      <c r="J28" t="s">
        <v>155</v>
      </c>
      <c r="K28" s="4">
        <f>IFERROR(IF(Semana3[[#This Row],[ID da Venda]]=B29,0,VLOOKUP(Semana3[[#This Row],[Entrega]],'Cálculos e Anotações'!$C$37:$D$41,2,FALSE)),0)</f>
        <v>0</v>
      </c>
      <c r="L28" s="4">
        <f>Semana3[[#This Row],[Subtotal]]*(1-Semana3[[#This Row],[Desconto]])+Semana3[[#This Row],[Taxa de Entrega]]</f>
        <v>10689.4</v>
      </c>
      <c r="M28" s="4" t="str">
        <f>IF(Semana3[[#This Row],[ID da Venda]]=B29,"",SUMIF(Semana3[ID da Venda],Semana3[[#This Row],[ID da Venda]],Semana3[Total]))</f>
        <v/>
      </c>
    </row>
    <row r="29" spans="2:13" x14ac:dyDescent="0.3">
      <c r="B29">
        <v>1</v>
      </c>
      <c r="C29" s="6">
        <v>45880</v>
      </c>
      <c r="D29" t="s">
        <v>80</v>
      </c>
      <c r="E29" t="str">
        <f>IFERROR(VLOOKUP(Semana3[[#This Row],[Produto]],'Cálculos e Anotações'!$K$5:$N$34,4,0),"")</f>
        <v>Pacote</v>
      </c>
      <c r="F29">
        <v>350</v>
      </c>
      <c r="G29" s="4">
        <f>IFERROR(VLOOKUP(Semana3[[#This Row],[Produto]],'Cálculos e Anotações'!$K$5:$N$34,3,0),0)</f>
        <v>2.15</v>
      </c>
      <c r="H29" s="4">
        <f>Semana3[[#This Row],[Quantidade]]*Semana3[[#This Row],[Preço Unitário]]</f>
        <v>752.5</v>
      </c>
      <c r="I29" s="5"/>
      <c r="J29" t="s">
        <v>155</v>
      </c>
      <c r="K29" s="4">
        <f>IFERROR(IF(Semana3[[#This Row],[ID da Venda]]=B30,0,VLOOKUP(Semana3[[#This Row],[Entrega]],'Cálculos e Anotações'!$C$37:$D$41,2,FALSE)),0)</f>
        <v>210</v>
      </c>
      <c r="L29" s="4">
        <f>Semana3[[#This Row],[Subtotal]]*(1-Semana3[[#This Row],[Desconto]])+Semana3[[#This Row],[Taxa de Entrega]]</f>
        <v>962.5</v>
      </c>
      <c r="M29" s="4">
        <f>IF(Semana3[[#This Row],[ID da Venda]]=B30,"",SUMIF(Semana3[ID da Venda],Semana3[[#This Row],[ID da Venda]],Semana3[Total]))</f>
        <v>20444.7</v>
      </c>
    </row>
    <row r="32" spans="2:13" ht="24" thickBot="1" x14ac:dyDescent="0.5">
      <c r="B32" s="29" t="s">
        <v>164</v>
      </c>
      <c r="C32" s="29"/>
      <c r="D32" s="29"/>
      <c r="E32" s="30"/>
      <c r="F32" s="29"/>
      <c r="G32" s="29"/>
      <c r="H32" s="29"/>
      <c r="I32" s="30"/>
      <c r="J32" s="29"/>
      <c r="K32" s="29"/>
      <c r="L32" s="29"/>
      <c r="M32" s="30">
        <f>SUM(Semana3[Total])</f>
        <v>46692.897999999994</v>
      </c>
    </row>
    <row r="33" spans="2:13" ht="24" thickBot="1" x14ac:dyDescent="0.5">
      <c r="B33" s="31" t="s">
        <v>165</v>
      </c>
      <c r="C33" s="31"/>
      <c r="D33" s="31"/>
      <c r="E33" s="32"/>
      <c r="F33" s="31"/>
      <c r="G33" s="31"/>
      <c r="H33" s="31"/>
      <c r="I33" s="32"/>
      <c r="J33" s="31"/>
      <c r="K33" s="31"/>
      <c r="L33" s="31"/>
      <c r="M33" s="32">
        <f>SUM(Semana3[Taxa de Entrega])</f>
        <v>940</v>
      </c>
    </row>
    <row r="34" spans="2:13" ht="23.4" x14ac:dyDescent="0.45">
      <c r="B34" s="31" t="s">
        <v>151</v>
      </c>
      <c r="C34" s="31"/>
      <c r="D34" s="31"/>
      <c r="E34" s="32"/>
      <c r="F34" s="31"/>
      <c r="G34" s="31"/>
      <c r="H34" s="31"/>
      <c r="I34" s="32"/>
      <c r="J34" s="31"/>
      <c r="K34" s="31"/>
      <c r="L34" s="31"/>
      <c r="M34" s="57" cm="1">
        <f t="array" ref="M34">SUM(IF(FREQUENCY(Semana3[ID da Venda],Semana3[ID da Venda])&gt;0,1,0))</f>
        <v>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7142050-8E92-4D33-90EE-736CF8BEDD09}">
          <x14:formula1>
            <xm:f>'Cálculos e Anotações'!$K$5:$K$34</xm:f>
          </x14:formula1>
          <xm:sqref>D5:D29</xm:sqref>
        </x14:dataValidation>
        <x14:dataValidation type="list" allowBlank="1" showInputMessage="1" showErrorMessage="1" xr:uid="{69BCB541-B854-408C-9917-F82C42FEEABB}">
          <x14:formula1>
            <xm:f>'Cálculos e Anotações'!$C$37:$C$41</xm:f>
          </x14:formula1>
          <xm:sqref>J5:J29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E13BD-EE21-4B76-A922-8CFCF28D99EA}">
  <dimension ref="B4:E84"/>
  <sheetViews>
    <sheetView showGridLines="0" zoomScale="85" zoomScaleNormal="85" workbookViewId="0">
      <selection activeCell="D52" sqref="D52"/>
    </sheetView>
  </sheetViews>
  <sheetFormatPr defaultRowHeight="14.4" x14ac:dyDescent="0.3"/>
  <cols>
    <col min="1" max="1" width="18.6640625" bestFit="1" customWidth="1"/>
    <col min="2" max="2" width="19.88671875" bestFit="1" customWidth="1"/>
    <col min="3" max="3" width="20" bestFit="1" customWidth="1"/>
    <col min="4" max="4" width="23.6640625" bestFit="1" customWidth="1"/>
    <col min="5" max="5" width="13.88671875" bestFit="1" customWidth="1"/>
    <col min="6" max="6" width="17.33203125" bestFit="1" customWidth="1"/>
    <col min="7" max="7" width="18.6640625" bestFit="1" customWidth="1"/>
    <col min="8" max="8" width="18.88671875" bestFit="1" customWidth="1"/>
    <col min="9" max="9" width="22.44140625" bestFit="1" customWidth="1"/>
    <col min="10" max="10" width="13.109375" bestFit="1" customWidth="1"/>
  </cols>
  <sheetData>
    <row r="4" spans="2:4" x14ac:dyDescent="0.3">
      <c r="B4" s="88" t="s">
        <v>167</v>
      </c>
      <c r="C4" t="s">
        <v>168</v>
      </c>
      <c r="D4" t="s">
        <v>169</v>
      </c>
    </row>
    <row r="5" spans="2:4" x14ac:dyDescent="0.3">
      <c r="B5" s="89">
        <v>45886</v>
      </c>
      <c r="C5">
        <v>742</v>
      </c>
      <c r="D5" s="90">
        <v>3536.288</v>
      </c>
    </row>
    <row r="6" spans="2:4" x14ac:dyDescent="0.3">
      <c r="B6" s="91" t="s">
        <v>96</v>
      </c>
      <c r="C6">
        <v>320</v>
      </c>
      <c r="D6" s="90">
        <v>806.40000000000009</v>
      </c>
    </row>
    <row r="7" spans="2:4" x14ac:dyDescent="0.3">
      <c r="B7" s="91" t="s">
        <v>92</v>
      </c>
      <c r="C7">
        <v>222</v>
      </c>
      <c r="D7" s="90">
        <v>2109.8879999999999</v>
      </c>
    </row>
    <row r="8" spans="2:4" x14ac:dyDescent="0.3">
      <c r="B8" s="91" t="s">
        <v>80</v>
      </c>
      <c r="C8">
        <v>200</v>
      </c>
      <c r="D8" s="90">
        <v>620</v>
      </c>
    </row>
    <row r="9" spans="2:4" x14ac:dyDescent="0.3">
      <c r="B9" s="89">
        <v>45885</v>
      </c>
      <c r="C9">
        <v>690</v>
      </c>
      <c r="D9" s="90">
        <v>1600.42</v>
      </c>
    </row>
    <row r="10" spans="2:4" x14ac:dyDescent="0.3">
      <c r="B10" s="91" t="s">
        <v>102</v>
      </c>
      <c r="C10">
        <v>280</v>
      </c>
      <c r="D10" s="90">
        <v>989.52</v>
      </c>
    </row>
    <row r="11" spans="2:4" x14ac:dyDescent="0.3">
      <c r="B11" s="91" t="s">
        <v>77</v>
      </c>
      <c r="C11">
        <v>210</v>
      </c>
      <c r="D11" s="90">
        <v>270.90000000000003</v>
      </c>
    </row>
    <row r="12" spans="2:4" x14ac:dyDescent="0.3">
      <c r="B12" s="91" t="s">
        <v>84</v>
      </c>
      <c r="C12">
        <v>200</v>
      </c>
      <c r="D12" s="90">
        <v>340</v>
      </c>
    </row>
    <row r="13" spans="2:4" x14ac:dyDescent="0.3">
      <c r="B13" s="89">
        <v>45884</v>
      </c>
      <c r="C13">
        <v>75</v>
      </c>
      <c r="D13" s="90">
        <v>624</v>
      </c>
    </row>
    <row r="14" spans="2:4" x14ac:dyDescent="0.3">
      <c r="B14" s="91" t="s">
        <v>85</v>
      </c>
      <c r="C14">
        <v>10</v>
      </c>
      <c r="D14" s="90">
        <v>43.5</v>
      </c>
    </row>
    <row r="15" spans="2:4" x14ac:dyDescent="0.3">
      <c r="B15" s="91" t="s">
        <v>88</v>
      </c>
      <c r="C15">
        <v>60</v>
      </c>
      <c r="D15" s="90">
        <v>426</v>
      </c>
    </row>
    <row r="16" spans="2:4" x14ac:dyDescent="0.3">
      <c r="B16" s="91" t="s">
        <v>72</v>
      </c>
      <c r="C16">
        <v>5</v>
      </c>
      <c r="D16" s="90">
        <v>154.5</v>
      </c>
    </row>
    <row r="17" spans="2:4" x14ac:dyDescent="0.3">
      <c r="B17" s="89">
        <v>45883</v>
      </c>
      <c r="C17">
        <v>920</v>
      </c>
      <c r="D17" s="90">
        <v>3299.44</v>
      </c>
    </row>
    <row r="18" spans="2:4" x14ac:dyDescent="0.3">
      <c r="B18" s="91" t="s">
        <v>89</v>
      </c>
      <c r="C18">
        <v>280</v>
      </c>
      <c r="D18" s="90">
        <v>784</v>
      </c>
    </row>
    <row r="19" spans="2:4" x14ac:dyDescent="0.3">
      <c r="B19" s="91" t="s">
        <v>74</v>
      </c>
      <c r="C19">
        <v>400</v>
      </c>
      <c r="D19" s="90">
        <v>1100</v>
      </c>
    </row>
    <row r="20" spans="2:4" x14ac:dyDescent="0.3">
      <c r="B20" s="91" t="s">
        <v>69</v>
      </c>
      <c r="C20">
        <v>240</v>
      </c>
      <c r="D20" s="90">
        <v>1415.44</v>
      </c>
    </row>
    <row r="21" spans="2:4" x14ac:dyDescent="0.3">
      <c r="B21" s="89">
        <v>45882</v>
      </c>
      <c r="C21">
        <v>1258</v>
      </c>
      <c r="D21" s="90">
        <v>12713.049999999997</v>
      </c>
    </row>
    <row r="22" spans="2:4" x14ac:dyDescent="0.3">
      <c r="B22" s="91" t="s">
        <v>72</v>
      </c>
      <c r="C22">
        <v>303</v>
      </c>
      <c r="D22" s="90">
        <v>9274.5999999999985</v>
      </c>
    </row>
    <row r="23" spans="2:4" x14ac:dyDescent="0.3">
      <c r="B23" s="91" t="s">
        <v>74</v>
      </c>
      <c r="C23">
        <v>520</v>
      </c>
      <c r="D23" s="90">
        <v>1301.3</v>
      </c>
    </row>
    <row r="24" spans="2:4" x14ac:dyDescent="0.3">
      <c r="B24" s="91" t="s">
        <v>94</v>
      </c>
      <c r="C24">
        <v>185</v>
      </c>
      <c r="D24" s="90">
        <v>812.15</v>
      </c>
    </row>
    <row r="25" spans="2:4" x14ac:dyDescent="0.3">
      <c r="B25" s="91" t="s">
        <v>78</v>
      </c>
      <c r="C25">
        <v>250</v>
      </c>
      <c r="D25" s="90">
        <v>1325</v>
      </c>
    </row>
    <row r="26" spans="2:4" x14ac:dyDescent="0.3">
      <c r="B26" s="89">
        <v>45881</v>
      </c>
      <c r="C26">
        <v>1430</v>
      </c>
      <c r="D26" s="90">
        <v>4475</v>
      </c>
    </row>
    <row r="27" spans="2:4" x14ac:dyDescent="0.3">
      <c r="B27" s="91" t="s">
        <v>78</v>
      </c>
      <c r="C27">
        <v>290</v>
      </c>
      <c r="D27" s="90">
        <v>1537</v>
      </c>
    </row>
    <row r="28" spans="2:4" x14ac:dyDescent="0.3">
      <c r="B28" s="91" t="s">
        <v>75</v>
      </c>
      <c r="C28">
        <v>340</v>
      </c>
      <c r="D28" s="90">
        <v>1173</v>
      </c>
    </row>
    <row r="29" spans="2:4" x14ac:dyDescent="0.3">
      <c r="B29" s="91" t="s">
        <v>82</v>
      </c>
      <c r="C29">
        <v>350</v>
      </c>
      <c r="D29" s="90">
        <v>472.50000000000006</v>
      </c>
    </row>
    <row r="30" spans="2:4" x14ac:dyDescent="0.3">
      <c r="B30" s="91" t="s">
        <v>101</v>
      </c>
      <c r="C30">
        <v>450</v>
      </c>
      <c r="D30" s="90">
        <v>1292.5</v>
      </c>
    </row>
    <row r="31" spans="2:4" x14ac:dyDescent="0.3">
      <c r="B31" s="89">
        <v>45880</v>
      </c>
      <c r="C31">
        <v>1034</v>
      </c>
      <c r="D31" s="90">
        <v>20444.7</v>
      </c>
    </row>
    <row r="32" spans="2:4" x14ac:dyDescent="0.3">
      <c r="B32" s="91" t="s">
        <v>80</v>
      </c>
      <c r="C32">
        <v>350</v>
      </c>
      <c r="D32" s="90">
        <v>962.5</v>
      </c>
    </row>
    <row r="33" spans="2:4" x14ac:dyDescent="0.3">
      <c r="B33" s="91" t="s">
        <v>100</v>
      </c>
      <c r="C33">
        <v>240</v>
      </c>
      <c r="D33" s="90">
        <v>7065.6</v>
      </c>
    </row>
    <row r="34" spans="2:4" x14ac:dyDescent="0.3">
      <c r="B34" s="91" t="s">
        <v>90</v>
      </c>
      <c r="C34">
        <v>254</v>
      </c>
      <c r="D34" s="90">
        <v>1727.2</v>
      </c>
    </row>
    <row r="35" spans="2:4" x14ac:dyDescent="0.3">
      <c r="B35" s="91" t="s">
        <v>104</v>
      </c>
      <c r="C35">
        <v>190</v>
      </c>
      <c r="D35" s="90">
        <v>10689.4</v>
      </c>
    </row>
    <row r="36" spans="2:4" x14ac:dyDescent="0.3">
      <c r="B36" s="89" t="s">
        <v>170</v>
      </c>
      <c r="C36">
        <v>6149</v>
      </c>
      <c r="D36" s="90">
        <v>46692.898000000001</v>
      </c>
    </row>
    <row r="54" spans="2:5" x14ac:dyDescent="0.3">
      <c r="B54" s="88" t="s">
        <v>171</v>
      </c>
      <c r="C54" t="s">
        <v>168</v>
      </c>
      <c r="D54" t="s">
        <v>172</v>
      </c>
      <c r="E54" t="s">
        <v>169</v>
      </c>
    </row>
    <row r="55" spans="2:5" x14ac:dyDescent="0.3">
      <c r="B55" s="92" t="s">
        <v>154</v>
      </c>
      <c r="C55">
        <v>2000</v>
      </c>
      <c r="D55" s="90">
        <v>380</v>
      </c>
      <c r="E55" s="90">
        <v>16249.337999999998</v>
      </c>
    </row>
    <row r="56" spans="2:5" x14ac:dyDescent="0.3">
      <c r="B56" s="91" t="s">
        <v>96</v>
      </c>
      <c r="C56">
        <v>320</v>
      </c>
      <c r="D56" s="90">
        <v>0</v>
      </c>
      <c r="E56" s="90">
        <v>806.40000000000009</v>
      </c>
    </row>
    <row r="57" spans="2:5" x14ac:dyDescent="0.3">
      <c r="B57" s="91" t="s">
        <v>92</v>
      </c>
      <c r="C57">
        <v>222</v>
      </c>
      <c r="D57" s="90">
        <v>0</v>
      </c>
      <c r="E57" s="90">
        <v>2109.8879999999999</v>
      </c>
    </row>
    <row r="58" spans="2:5" x14ac:dyDescent="0.3">
      <c r="B58" s="91" t="s">
        <v>80</v>
      </c>
      <c r="C58">
        <v>200</v>
      </c>
      <c r="D58" s="90">
        <v>190</v>
      </c>
      <c r="E58" s="90">
        <v>620</v>
      </c>
    </row>
    <row r="59" spans="2:5" x14ac:dyDescent="0.3">
      <c r="B59" s="91" t="s">
        <v>72</v>
      </c>
      <c r="C59">
        <v>303</v>
      </c>
      <c r="D59" s="90">
        <v>190</v>
      </c>
      <c r="E59" s="90">
        <v>9274.5999999999985</v>
      </c>
    </row>
    <row r="60" spans="2:5" x14ac:dyDescent="0.3">
      <c r="B60" s="91" t="s">
        <v>74</v>
      </c>
      <c r="C60">
        <v>520</v>
      </c>
      <c r="D60" s="90">
        <v>0</v>
      </c>
      <c r="E60" s="90">
        <v>1301.3</v>
      </c>
    </row>
    <row r="61" spans="2:5" x14ac:dyDescent="0.3">
      <c r="B61" s="91" t="s">
        <v>94</v>
      </c>
      <c r="C61">
        <v>185</v>
      </c>
      <c r="D61" s="90">
        <v>0</v>
      </c>
      <c r="E61" s="90">
        <v>812.15</v>
      </c>
    </row>
    <row r="62" spans="2:5" x14ac:dyDescent="0.3">
      <c r="B62" s="91" t="s">
        <v>78</v>
      </c>
      <c r="C62">
        <v>250</v>
      </c>
      <c r="D62" s="90">
        <v>0</v>
      </c>
      <c r="E62" s="90">
        <v>1325</v>
      </c>
    </row>
    <row r="63" spans="2:5" x14ac:dyDescent="0.3">
      <c r="B63" s="92" t="s">
        <v>156</v>
      </c>
      <c r="C63">
        <v>690</v>
      </c>
      <c r="D63" s="90">
        <v>150</v>
      </c>
      <c r="E63" s="90">
        <v>1600.42</v>
      </c>
    </row>
    <row r="64" spans="2:5" x14ac:dyDescent="0.3">
      <c r="B64" s="91" t="s">
        <v>102</v>
      </c>
      <c r="C64">
        <v>280</v>
      </c>
      <c r="D64" s="90">
        <v>0</v>
      </c>
      <c r="E64" s="90">
        <v>989.52</v>
      </c>
    </row>
    <row r="65" spans="2:5" x14ac:dyDescent="0.3">
      <c r="B65" s="91" t="s">
        <v>77</v>
      </c>
      <c r="C65">
        <v>210</v>
      </c>
      <c r="D65" s="90">
        <v>0</v>
      </c>
      <c r="E65" s="90">
        <v>270.90000000000003</v>
      </c>
    </row>
    <row r="66" spans="2:5" x14ac:dyDescent="0.3">
      <c r="B66" s="91" t="s">
        <v>84</v>
      </c>
      <c r="C66">
        <v>200</v>
      </c>
      <c r="D66" s="90">
        <v>150</v>
      </c>
      <c r="E66" s="90">
        <v>340</v>
      </c>
    </row>
    <row r="67" spans="2:5" x14ac:dyDescent="0.3">
      <c r="B67" s="92" t="s">
        <v>152</v>
      </c>
      <c r="C67">
        <v>75</v>
      </c>
      <c r="D67" s="90">
        <v>0</v>
      </c>
      <c r="E67" s="90">
        <v>624</v>
      </c>
    </row>
    <row r="68" spans="2:5" x14ac:dyDescent="0.3">
      <c r="B68" s="91" t="s">
        <v>85</v>
      </c>
      <c r="C68">
        <v>10</v>
      </c>
      <c r="D68" s="90">
        <v>0</v>
      </c>
      <c r="E68" s="90">
        <v>43.5</v>
      </c>
    </row>
    <row r="69" spans="2:5" x14ac:dyDescent="0.3">
      <c r="B69" s="91" t="s">
        <v>88</v>
      </c>
      <c r="C69">
        <v>60</v>
      </c>
      <c r="D69" s="90">
        <v>0</v>
      </c>
      <c r="E69" s="90">
        <v>426</v>
      </c>
    </row>
    <row r="70" spans="2:5" x14ac:dyDescent="0.3">
      <c r="B70" s="91" t="s">
        <v>72</v>
      </c>
      <c r="C70">
        <v>5</v>
      </c>
      <c r="D70" s="90">
        <v>0</v>
      </c>
      <c r="E70" s="90">
        <v>154.5</v>
      </c>
    </row>
    <row r="71" spans="2:5" x14ac:dyDescent="0.3">
      <c r="B71" s="92" t="s">
        <v>153</v>
      </c>
      <c r="C71">
        <v>2350</v>
      </c>
      <c r="D71" s="90">
        <v>200</v>
      </c>
      <c r="E71" s="90">
        <v>7774.4400000000005</v>
      </c>
    </row>
    <row r="72" spans="2:5" x14ac:dyDescent="0.3">
      <c r="B72" s="91" t="s">
        <v>89</v>
      </c>
      <c r="C72">
        <v>280</v>
      </c>
      <c r="D72" s="90">
        <v>0</v>
      </c>
      <c r="E72" s="90">
        <v>784</v>
      </c>
    </row>
    <row r="73" spans="2:5" x14ac:dyDescent="0.3">
      <c r="B73" s="91" t="s">
        <v>74</v>
      </c>
      <c r="C73">
        <v>400</v>
      </c>
      <c r="D73" s="90">
        <v>0</v>
      </c>
      <c r="E73" s="90">
        <v>1100</v>
      </c>
    </row>
    <row r="74" spans="2:5" x14ac:dyDescent="0.3">
      <c r="B74" s="91" t="s">
        <v>69</v>
      </c>
      <c r="C74">
        <v>240</v>
      </c>
      <c r="D74" s="90">
        <v>100</v>
      </c>
      <c r="E74" s="90">
        <v>1415.44</v>
      </c>
    </row>
    <row r="75" spans="2:5" x14ac:dyDescent="0.3">
      <c r="B75" s="91" t="s">
        <v>78</v>
      </c>
      <c r="C75">
        <v>290</v>
      </c>
      <c r="D75" s="90">
        <v>0</v>
      </c>
      <c r="E75" s="90">
        <v>1537</v>
      </c>
    </row>
    <row r="76" spans="2:5" x14ac:dyDescent="0.3">
      <c r="B76" s="91" t="s">
        <v>75</v>
      </c>
      <c r="C76">
        <v>340</v>
      </c>
      <c r="D76" s="90">
        <v>0</v>
      </c>
      <c r="E76" s="90">
        <v>1173</v>
      </c>
    </row>
    <row r="77" spans="2:5" x14ac:dyDescent="0.3">
      <c r="B77" s="91" t="s">
        <v>82</v>
      </c>
      <c r="C77">
        <v>350</v>
      </c>
      <c r="D77" s="90">
        <v>0</v>
      </c>
      <c r="E77" s="90">
        <v>472.50000000000006</v>
      </c>
    </row>
    <row r="78" spans="2:5" x14ac:dyDescent="0.3">
      <c r="B78" s="91" t="s">
        <v>101</v>
      </c>
      <c r="C78">
        <v>450</v>
      </c>
      <c r="D78" s="90">
        <v>100</v>
      </c>
      <c r="E78" s="90">
        <v>1292.5</v>
      </c>
    </row>
    <row r="79" spans="2:5" x14ac:dyDescent="0.3">
      <c r="B79" s="92" t="s">
        <v>155</v>
      </c>
      <c r="C79">
        <v>1034</v>
      </c>
      <c r="D79" s="90">
        <v>210</v>
      </c>
      <c r="E79" s="90">
        <v>20444.7</v>
      </c>
    </row>
    <row r="80" spans="2:5" x14ac:dyDescent="0.3">
      <c r="B80" s="91" t="s">
        <v>80</v>
      </c>
      <c r="C80">
        <v>350</v>
      </c>
      <c r="D80" s="90">
        <v>210</v>
      </c>
      <c r="E80" s="90">
        <v>962.5</v>
      </c>
    </row>
    <row r="81" spans="2:5" x14ac:dyDescent="0.3">
      <c r="B81" s="91" t="s">
        <v>100</v>
      </c>
      <c r="C81">
        <v>240</v>
      </c>
      <c r="D81" s="90">
        <v>0</v>
      </c>
      <c r="E81" s="90">
        <v>7065.6</v>
      </c>
    </row>
    <row r="82" spans="2:5" x14ac:dyDescent="0.3">
      <c r="B82" s="91" t="s">
        <v>90</v>
      </c>
      <c r="C82">
        <v>254</v>
      </c>
      <c r="D82" s="90">
        <v>0</v>
      </c>
      <c r="E82" s="90">
        <v>1727.2</v>
      </c>
    </row>
    <row r="83" spans="2:5" x14ac:dyDescent="0.3">
      <c r="B83" s="91" t="s">
        <v>104</v>
      </c>
      <c r="C83">
        <v>190</v>
      </c>
      <c r="D83" s="90">
        <v>0</v>
      </c>
      <c r="E83" s="90">
        <v>10689.4</v>
      </c>
    </row>
    <row r="84" spans="2:5" x14ac:dyDescent="0.3">
      <c r="B84" s="92" t="s">
        <v>170</v>
      </c>
      <c r="C84">
        <v>6149</v>
      </c>
      <c r="D84" s="90">
        <v>940</v>
      </c>
      <c r="E84" s="90">
        <v>46692.897999999994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0612-70A1-4E7D-BC2C-15A80690E2CF}">
  <sheetPr codeName="Planilha11"/>
  <dimension ref="B2:M34"/>
  <sheetViews>
    <sheetView showGridLines="0" workbookViewId="0"/>
  </sheetViews>
  <sheetFormatPr defaultRowHeight="14.4" x14ac:dyDescent="0.3"/>
  <cols>
    <col min="1" max="1" width="19.5546875" customWidth="1"/>
    <col min="2" max="2" width="13.6640625" customWidth="1"/>
    <col min="3" max="3" width="18.33203125" customWidth="1"/>
    <col min="4" max="4" width="16.88671875" customWidth="1"/>
    <col min="5" max="5" width="11.88671875" customWidth="1"/>
    <col min="6" max="6" width="13.109375" bestFit="1" customWidth="1"/>
    <col min="7" max="7" width="16.6640625" customWidth="1"/>
    <col min="8" max="8" width="17.33203125" customWidth="1"/>
    <col min="9" max="9" width="12.33203125" customWidth="1"/>
    <col min="10" max="10" width="11.33203125" customWidth="1"/>
    <col min="11" max="11" width="17.33203125" bestFit="1" customWidth="1"/>
    <col min="12" max="12" width="16.33203125" customWidth="1"/>
    <col min="13" max="13" width="21.33203125" bestFit="1" customWidth="1"/>
    <col min="14" max="14" width="10.109375" bestFit="1" customWidth="1"/>
  </cols>
  <sheetData>
    <row r="2" spans="2:13" s="26" customFormat="1" ht="28.2" customHeight="1" x14ac:dyDescent="0.4">
      <c r="B2" s="24" t="s">
        <v>176</v>
      </c>
      <c r="C2" s="25"/>
      <c r="D2" s="25"/>
      <c r="E2" s="25"/>
      <c r="F2" s="25"/>
    </row>
    <row r="3" spans="2:13" ht="32.4" customHeight="1" x14ac:dyDescent="0.3"/>
    <row r="4" spans="2:13" x14ac:dyDescent="0.3">
      <c r="B4" t="s">
        <v>158</v>
      </c>
      <c r="C4" t="s">
        <v>23</v>
      </c>
      <c r="D4" t="s">
        <v>117</v>
      </c>
      <c r="E4" t="s">
        <v>63</v>
      </c>
      <c r="F4" t="s">
        <v>64</v>
      </c>
      <c r="G4" t="s">
        <v>65</v>
      </c>
      <c r="H4" t="s">
        <v>159</v>
      </c>
      <c r="I4" t="s">
        <v>66</v>
      </c>
      <c r="J4" t="s">
        <v>160</v>
      </c>
      <c r="K4" t="s">
        <v>161</v>
      </c>
      <c r="L4" t="s">
        <v>162</v>
      </c>
      <c r="M4" t="s">
        <v>163</v>
      </c>
    </row>
    <row r="5" spans="2:13" x14ac:dyDescent="0.3">
      <c r="B5">
        <v>7</v>
      </c>
      <c r="C5" s="6">
        <v>45893</v>
      </c>
      <c r="D5" t="s">
        <v>92</v>
      </c>
      <c r="E5" t="str">
        <f>IFERROR(VLOOKUP(Semana4[[#This Row],[Produto]],'Cálculos e Anotações'!$K$5:$N$34,4,0),"")</f>
        <v>Kg</v>
      </c>
      <c r="F5">
        <v>110</v>
      </c>
      <c r="G5" s="4">
        <f>IFERROR(VLOOKUP(Semana4[[#This Row],[Produto]],'Cálculos e Anotações'!$K$5:$N$34,3,0),0)</f>
        <v>9.9</v>
      </c>
      <c r="H5" s="4">
        <f>Semana4[[#This Row],[Quantidade]]*Semana4[[#This Row],[Preço Unitário]]</f>
        <v>1089</v>
      </c>
      <c r="I5" s="5">
        <v>0.04</v>
      </c>
      <c r="J5" t="s">
        <v>154</v>
      </c>
      <c r="K5" s="4">
        <f>IFERROR(IF(Semana4[[#This Row],[ID da Venda]]=B6,0,VLOOKUP(Semana4[[#This Row],[Entrega]],'Cálculos e Anotações'!$C$37:$D$41,2,FALSE)),0)</f>
        <v>0</v>
      </c>
      <c r="L5" s="4">
        <f>Semana4[[#This Row],[Subtotal]]*(1-Semana4[[#This Row],[Desconto]])+Semana4[[#This Row],[Taxa de Entrega]]</f>
        <v>1045.44</v>
      </c>
      <c r="M5" s="4" t="str">
        <f>IF(Semana4[[#This Row],[ID da Venda]]=B6,"",SUMIF(Semana4[ID da Venda],Semana4[[#This Row],[ID da Venda]],Semana4[Total]))</f>
        <v/>
      </c>
    </row>
    <row r="6" spans="2:13" x14ac:dyDescent="0.3">
      <c r="B6">
        <v>7</v>
      </c>
      <c r="C6" s="6">
        <v>45893</v>
      </c>
      <c r="D6" t="s">
        <v>96</v>
      </c>
      <c r="E6" t="str">
        <f>IFERROR(VLOOKUP(Semana4[[#This Row],[Produto]],'Cálculos e Anotações'!$K$5:$N$34,4,0),"")</f>
        <v>Unidade</v>
      </c>
      <c r="F6">
        <v>156</v>
      </c>
      <c r="G6" s="4">
        <f>IFERROR(VLOOKUP(Semana4[[#This Row],[Produto]],'Cálculos e Anotações'!$K$5:$N$34,3,0),0)</f>
        <v>3.15</v>
      </c>
      <c r="H6" s="4">
        <f>Semana4[[#This Row],[Quantidade]]*Semana4[[#This Row],[Preço Unitário]]</f>
        <v>491.4</v>
      </c>
      <c r="I6" s="5"/>
      <c r="J6" t="s">
        <v>154</v>
      </c>
      <c r="K6" s="4">
        <f>IFERROR(IF(Semana4[[#This Row],[ID da Venda]]=B7,0,VLOOKUP(Semana4[[#This Row],[Entrega]],'Cálculos e Anotações'!$C$37:$D$41,2,FALSE)),0)</f>
        <v>0</v>
      </c>
      <c r="L6" s="4">
        <f>Semana4[[#This Row],[Subtotal]]*(1-Semana4[[#This Row],[Desconto]])+Semana4[[#This Row],[Taxa de Entrega]]</f>
        <v>491.4</v>
      </c>
      <c r="M6" s="4" t="str">
        <f>IF(Semana4[[#This Row],[ID da Venda]]=B7,"",SUMIF(Semana4[ID da Venda],Semana4[[#This Row],[ID da Venda]],Semana4[Total]))</f>
        <v/>
      </c>
    </row>
    <row r="7" spans="2:13" x14ac:dyDescent="0.3">
      <c r="B7">
        <v>7</v>
      </c>
      <c r="C7" s="6">
        <v>45893</v>
      </c>
      <c r="D7" t="s">
        <v>86</v>
      </c>
      <c r="E7" t="str">
        <f>IFERROR(VLOOKUP(Semana4[[#This Row],[Produto]],'Cálculos e Anotações'!$K$5:$N$34,4,0),"")</f>
        <v>Barra</v>
      </c>
      <c r="F7">
        <v>150</v>
      </c>
      <c r="G7" s="4">
        <f>IFERROR(VLOOKUP(Semana4[[#This Row],[Produto]],'Cálculos e Anotações'!$K$5:$N$34,3,0),0)</f>
        <v>5.45</v>
      </c>
      <c r="H7" s="4">
        <f>Semana4[[#This Row],[Quantidade]]*Semana4[[#This Row],[Preço Unitário]]</f>
        <v>817.5</v>
      </c>
      <c r="I7" s="5"/>
      <c r="J7" t="s">
        <v>154</v>
      </c>
      <c r="K7" s="4">
        <f>IFERROR(IF(Semana4[[#This Row],[ID da Venda]]=B8,0,VLOOKUP(Semana4[[#This Row],[Entrega]],'Cálculos e Anotações'!$C$37:$D$41,2,FALSE)),0)</f>
        <v>0</v>
      </c>
      <c r="L7" s="4">
        <f>Semana4[[#This Row],[Subtotal]]*(1-Semana4[[#This Row],[Desconto]])+Semana4[[#This Row],[Taxa de Entrega]]</f>
        <v>817.5</v>
      </c>
      <c r="M7" s="4" t="str">
        <f>IF(Semana4[[#This Row],[ID da Venda]]=B8,"",SUMIF(Semana4[ID da Venda],Semana4[[#This Row],[ID da Venda]],Semana4[Total]))</f>
        <v/>
      </c>
    </row>
    <row r="8" spans="2:13" x14ac:dyDescent="0.3">
      <c r="B8">
        <v>7</v>
      </c>
      <c r="C8" s="6">
        <v>45893</v>
      </c>
      <c r="D8" t="s">
        <v>102</v>
      </c>
      <c r="E8" t="str">
        <f>IFERROR(VLOOKUP(Semana4[[#This Row],[Produto]],'Cálculos e Anotações'!$K$5:$N$34,4,0),"")</f>
        <v>Litro</v>
      </c>
      <c r="F8">
        <v>220</v>
      </c>
      <c r="G8" s="4">
        <f>IFERROR(VLOOKUP(Semana4[[#This Row],[Produto]],'Cálculos e Anotações'!$K$5:$N$34,3,0),0)</f>
        <v>3.8</v>
      </c>
      <c r="H8" s="4">
        <f>Semana4[[#This Row],[Quantidade]]*Semana4[[#This Row],[Preço Unitário]]</f>
        <v>836</v>
      </c>
      <c r="I8" s="5">
        <v>0.02</v>
      </c>
      <c r="J8" t="s">
        <v>154</v>
      </c>
      <c r="K8" s="4">
        <f>IFERROR(IF(Semana4[[#This Row],[ID da Venda]]=B9,0,VLOOKUP(Semana4[[#This Row],[Entrega]],'Cálculos e Anotações'!$C$37:$D$41,2,FALSE)),0)</f>
        <v>190</v>
      </c>
      <c r="L8" s="4">
        <f>Semana4[[#This Row],[Subtotal]]*(1-Semana4[[#This Row],[Desconto]])+Semana4[[#This Row],[Taxa de Entrega]]</f>
        <v>1009.28</v>
      </c>
      <c r="M8" s="4">
        <f>IF(Semana4[[#This Row],[ID da Venda]]=B9,"",SUMIF(Semana4[ID da Venda],Semana4[[#This Row],[ID da Venda]],Semana4[Total]))</f>
        <v>3363.62</v>
      </c>
    </row>
    <row r="9" spans="2:13" x14ac:dyDescent="0.3">
      <c r="B9">
        <v>6</v>
      </c>
      <c r="C9" s="6">
        <v>45892</v>
      </c>
      <c r="D9" t="s">
        <v>94</v>
      </c>
      <c r="E9" t="str">
        <f>IFERROR(VLOOKUP(Semana4[[#This Row],[Produto]],'Cálculos e Anotações'!$K$5:$N$34,4,0),"")</f>
        <v>Litro</v>
      </c>
      <c r="F9">
        <v>230</v>
      </c>
      <c r="G9" s="4">
        <f>IFERROR(VLOOKUP(Semana4[[#This Row],[Produto]],'Cálculos e Anotações'!$K$5:$N$34,3,0),0)</f>
        <v>4.3899999999999997</v>
      </c>
      <c r="H9" s="4">
        <f>Semana4[[#This Row],[Quantidade]]*Semana4[[#This Row],[Preço Unitário]]</f>
        <v>1009.6999999999999</v>
      </c>
      <c r="I9" s="5">
        <v>0.12</v>
      </c>
      <c r="J9" t="s">
        <v>155</v>
      </c>
      <c r="K9" s="4">
        <f>IFERROR(IF(Semana4[[#This Row],[ID da Venda]]=B10,0,VLOOKUP(Semana4[[#This Row],[Entrega]],'Cálculos e Anotações'!$C$37:$D$41,2,FALSE)),0)</f>
        <v>0</v>
      </c>
      <c r="L9" s="4">
        <f>Semana4[[#This Row],[Subtotal]]*(1-Semana4[[#This Row],[Desconto]])+Semana4[[#This Row],[Taxa de Entrega]]</f>
        <v>888.53599999999994</v>
      </c>
      <c r="M9" s="4" t="str">
        <f>IF(Semana4[[#This Row],[ID da Venda]]=B10,"",SUMIF(Semana4[ID da Venda],Semana4[[#This Row],[ID da Venda]],Semana4[Total]))</f>
        <v/>
      </c>
    </row>
    <row r="10" spans="2:13" x14ac:dyDescent="0.3">
      <c r="B10">
        <v>6</v>
      </c>
      <c r="C10" s="6">
        <v>45892</v>
      </c>
      <c r="D10" t="s">
        <v>103</v>
      </c>
      <c r="E10" t="str">
        <f>IFERROR(VLOOKUP(Semana4[[#This Row],[Produto]],'Cálculos e Anotações'!$K$5:$N$34,4,0),"")</f>
        <v>Garrafa</v>
      </c>
      <c r="F10">
        <v>120</v>
      </c>
      <c r="G10" s="4">
        <f>IFERROR(VLOOKUP(Semana4[[#This Row],[Produto]],'Cálculos e Anotações'!$K$5:$N$34,3,0),0)</f>
        <v>33.5</v>
      </c>
      <c r="H10" s="4">
        <f>Semana4[[#This Row],[Quantidade]]*Semana4[[#This Row],[Preço Unitário]]</f>
        <v>4020</v>
      </c>
      <c r="I10" s="5"/>
      <c r="J10" t="s">
        <v>155</v>
      </c>
      <c r="K10" s="4">
        <f>IFERROR(IF(Semana4[[#This Row],[ID da Venda]]=B11,0,VLOOKUP(Semana4[[#This Row],[Entrega]],'Cálculos e Anotações'!$C$37:$D$41,2,FALSE)),0)</f>
        <v>210</v>
      </c>
      <c r="L10" s="4">
        <f>Semana4[[#This Row],[Subtotal]]*(1-Semana4[[#This Row],[Desconto]])+Semana4[[#This Row],[Taxa de Entrega]]</f>
        <v>4230</v>
      </c>
      <c r="M10" s="4">
        <f>IF(Semana4[[#This Row],[ID da Venda]]=B11,"",SUMIF(Semana4[ID da Venda],Semana4[[#This Row],[ID da Venda]],Semana4[Total]))</f>
        <v>5118.5360000000001</v>
      </c>
    </row>
    <row r="11" spans="2:13" x14ac:dyDescent="0.3">
      <c r="B11">
        <v>5</v>
      </c>
      <c r="C11" s="6">
        <v>45891</v>
      </c>
      <c r="D11" t="s">
        <v>75</v>
      </c>
      <c r="E11" t="str">
        <f>IFERROR(VLOOKUP(Semana4[[#This Row],[Produto]],'Cálculos e Anotações'!$K$5:$N$34,4,0),"")</f>
        <v>Unidade</v>
      </c>
      <c r="F11">
        <v>235</v>
      </c>
      <c r="G11" s="4">
        <f>IFERROR(VLOOKUP(Semana4[[#This Row],[Produto]],'Cálculos e Anotações'!$K$5:$N$34,3,0),0)</f>
        <v>3.45</v>
      </c>
      <c r="H11" s="4">
        <f>Semana4[[#This Row],[Quantidade]]*Semana4[[#This Row],[Preço Unitário]]</f>
        <v>810.75</v>
      </c>
      <c r="I11" s="5"/>
      <c r="J11" t="s">
        <v>152</v>
      </c>
      <c r="K11" s="4">
        <f>IFERROR(IF(Semana4[[#This Row],[ID da Venda]]=B12,0,VLOOKUP(Semana4[[#This Row],[Entrega]],'Cálculos e Anotações'!$C$37:$D$41,2,FALSE)),0)</f>
        <v>0</v>
      </c>
      <c r="L11" s="4">
        <f>Semana4[[#This Row],[Subtotal]]*(1-Semana4[[#This Row],[Desconto]])+Semana4[[#This Row],[Taxa de Entrega]]</f>
        <v>810.75</v>
      </c>
      <c r="M11" s="4" t="str">
        <f>IF(Semana4[[#This Row],[ID da Venda]]=B12,"",SUMIF(Semana4[ID da Venda],Semana4[[#This Row],[ID da Venda]],Semana4[Total]))</f>
        <v/>
      </c>
    </row>
    <row r="12" spans="2:13" x14ac:dyDescent="0.3">
      <c r="B12">
        <v>5</v>
      </c>
      <c r="C12" s="6">
        <v>45891</v>
      </c>
      <c r="D12" t="s">
        <v>90</v>
      </c>
      <c r="E12" t="str">
        <f>IFERROR(VLOOKUP(Semana4[[#This Row],[Produto]],'Cálculos e Anotações'!$K$5:$N$34,4,0),"")</f>
        <v>Kg</v>
      </c>
      <c r="F12">
        <v>102</v>
      </c>
      <c r="G12" s="4">
        <f>IFERROR(VLOOKUP(Semana4[[#This Row],[Produto]],'Cálculos e Anotações'!$K$5:$N$34,3,0),0)</f>
        <v>6.8</v>
      </c>
      <c r="H12" s="4">
        <f>Semana4[[#This Row],[Quantidade]]*Semana4[[#This Row],[Preço Unitário]]</f>
        <v>693.6</v>
      </c>
      <c r="I12" s="5"/>
      <c r="J12" t="s">
        <v>152</v>
      </c>
      <c r="K12" s="4">
        <f>IFERROR(IF(Semana4[[#This Row],[ID da Venda]]=B13,0,VLOOKUP(Semana4[[#This Row],[Entrega]],'Cálculos e Anotações'!$C$37:$D$41,2,FALSE)),0)</f>
        <v>0</v>
      </c>
      <c r="L12" s="4">
        <f>Semana4[[#This Row],[Subtotal]]*(1-Semana4[[#This Row],[Desconto]])+Semana4[[#This Row],[Taxa de Entrega]]</f>
        <v>693.6</v>
      </c>
      <c r="M12" s="4" t="str">
        <f>IF(Semana4[[#This Row],[ID da Venda]]=B13,"",SUMIF(Semana4[ID da Venda],Semana4[[#This Row],[ID da Venda]],Semana4[Total]))</f>
        <v/>
      </c>
    </row>
    <row r="13" spans="2:13" x14ac:dyDescent="0.3">
      <c r="B13">
        <v>5</v>
      </c>
      <c r="C13" s="6">
        <v>45891</v>
      </c>
      <c r="D13" t="s">
        <v>88</v>
      </c>
      <c r="E13" t="str">
        <f>IFERROR(VLOOKUP(Semana4[[#This Row],[Produto]],'Cálculos e Anotações'!$K$5:$N$34,4,0),"")</f>
        <v>Maço</v>
      </c>
      <c r="F13">
        <v>500</v>
      </c>
      <c r="G13" s="4">
        <f>IFERROR(VLOOKUP(Semana4[[#This Row],[Produto]],'Cálculos e Anotações'!$K$5:$N$34,3,0),0)</f>
        <v>7.1</v>
      </c>
      <c r="H13" s="4">
        <f>Semana4[[#This Row],[Quantidade]]*Semana4[[#This Row],[Preço Unitário]]</f>
        <v>3550</v>
      </c>
      <c r="I13" s="5">
        <v>0.15</v>
      </c>
      <c r="J13" t="s">
        <v>152</v>
      </c>
      <c r="K13" s="4">
        <f>IFERROR(IF(Semana4[[#This Row],[ID da Venda]]=B14,0,VLOOKUP(Semana4[[#This Row],[Entrega]],'Cálculos e Anotações'!$C$37:$D$41,2,FALSE)),0)</f>
        <v>0</v>
      </c>
      <c r="L13" s="4">
        <f>Semana4[[#This Row],[Subtotal]]*(1-Semana4[[#This Row],[Desconto]])+Semana4[[#This Row],[Taxa de Entrega]]</f>
        <v>3017.5</v>
      </c>
      <c r="M13" s="4" t="str">
        <f>IF(Semana4[[#This Row],[ID da Venda]]=B14,"",SUMIF(Semana4[ID da Venda],Semana4[[#This Row],[ID da Venda]],Semana4[Total]))</f>
        <v/>
      </c>
    </row>
    <row r="14" spans="2:13" x14ac:dyDescent="0.3">
      <c r="B14">
        <v>5</v>
      </c>
      <c r="C14" s="6">
        <v>45891</v>
      </c>
      <c r="D14" t="s">
        <v>82</v>
      </c>
      <c r="E14" t="str">
        <f>IFERROR(VLOOKUP(Semana4[[#This Row],[Produto]],'Cálculos e Anotações'!$K$5:$N$34,4,0),"")</f>
        <v>Pacote</v>
      </c>
      <c r="F14">
        <v>330</v>
      </c>
      <c r="G14" s="4">
        <f>IFERROR(VLOOKUP(Semana4[[#This Row],[Produto]],'Cálculos e Anotações'!$K$5:$N$34,3,0),0)</f>
        <v>1.35</v>
      </c>
      <c r="H14" s="4">
        <f>Semana4[[#This Row],[Quantidade]]*Semana4[[#This Row],[Preço Unitário]]</f>
        <v>445.50000000000006</v>
      </c>
      <c r="I14" s="5"/>
      <c r="J14" t="s">
        <v>152</v>
      </c>
      <c r="K14" s="4">
        <f>IFERROR(IF(Semana4[[#This Row],[ID da Venda]]=B15,0,VLOOKUP(Semana4[[#This Row],[Entrega]],'Cálculos e Anotações'!$C$37:$D$41,2,FALSE)),0)</f>
        <v>0</v>
      </c>
      <c r="L14" s="4">
        <f>Semana4[[#This Row],[Subtotal]]*(1-Semana4[[#This Row],[Desconto]])+Semana4[[#This Row],[Taxa de Entrega]]</f>
        <v>445.50000000000006</v>
      </c>
      <c r="M14" s="4">
        <f>IF(Semana4[[#This Row],[ID da Venda]]=B15,"",SUMIF(Semana4[ID da Venda],Semana4[[#This Row],[ID da Venda]],Semana4[Total]))</f>
        <v>4967.3500000000004</v>
      </c>
    </row>
    <row r="15" spans="2:13" x14ac:dyDescent="0.3">
      <c r="B15">
        <v>4</v>
      </c>
      <c r="C15" s="6">
        <v>45890</v>
      </c>
      <c r="D15" t="s">
        <v>101</v>
      </c>
      <c r="E15" t="str">
        <f>IFERROR(VLOOKUP(Semana4[[#This Row],[Produto]],'Cálculos e Anotações'!$K$5:$N$34,4,0),"")</f>
        <v>Litro</v>
      </c>
      <c r="F15">
        <v>320</v>
      </c>
      <c r="G15" s="4">
        <f>IFERROR(VLOOKUP(Semana4[[#This Row],[Produto]],'Cálculos e Anotações'!$K$5:$N$34,3,0),0)</f>
        <v>2.65</v>
      </c>
      <c r="H15" s="4">
        <f>Semana4[[#This Row],[Quantidade]]*Semana4[[#This Row],[Preço Unitário]]</f>
        <v>848</v>
      </c>
      <c r="I15" s="5"/>
      <c r="J15" t="s">
        <v>156</v>
      </c>
      <c r="K15" s="4">
        <f>IFERROR(IF(Semana4[[#This Row],[ID da Venda]]=B16,0,VLOOKUP(Semana4[[#This Row],[Entrega]],'Cálculos e Anotações'!$C$37:$D$41,2,FALSE)),0)</f>
        <v>0</v>
      </c>
      <c r="L15" s="4">
        <f>Semana4[[#This Row],[Subtotal]]*(1-Semana4[[#This Row],[Desconto]])+Semana4[[#This Row],[Taxa de Entrega]]</f>
        <v>848</v>
      </c>
      <c r="M15" s="4" t="str">
        <f>IF(Semana4[[#This Row],[ID da Venda]]=B16,"",SUMIF(Semana4[ID da Venda],Semana4[[#This Row],[ID da Venda]],Semana4[Total]))</f>
        <v/>
      </c>
    </row>
    <row r="16" spans="2:13" x14ac:dyDescent="0.3">
      <c r="B16">
        <v>4</v>
      </c>
      <c r="C16" s="6">
        <v>45890</v>
      </c>
      <c r="D16" t="s">
        <v>86</v>
      </c>
      <c r="E16" t="str">
        <f>IFERROR(VLOOKUP(Semana4[[#This Row],[Produto]],'Cálculos e Anotações'!$K$5:$N$34,4,0),"")</f>
        <v>Barra</v>
      </c>
      <c r="F16">
        <v>330</v>
      </c>
      <c r="G16" s="4">
        <f>IFERROR(VLOOKUP(Semana4[[#This Row],[Produto]],'Cálculos e Anotações'!$K$5:$N$34,3,0),0)</f>
        <v>5.45</v>
      </c>
      <c r="H16" s="4">
        <f>Semana4[[#This Row],[Quantidade]]*Semana4[[#This Row],[Preço Unitário]]</f>
        <v>1798.5</v>
      </c>
      <c r="I16" s="5"/>
      <c r="J16" t="s">
        <v>156</v>
      </c>
      <c r="K16" s="4">
        <f>IFERROR(IF(Semana4[[#This Row],[ID da Venda]]=B17,0,VLOOKUP(Semana4[[#This Row],[Entrega]],'Cálculos e Anotações'!$C$37:$D$41,2,FALSE)),0)</f>
        <v>0</v>
      </c>
      <c r="L16" s="4">
        <f>Semana4[[#This Row],[Subtotal]]*(1-Semana4[[#This Row],[Desconto]])+Semana4[[#This Row],[Taxa de Entrega]]</f>
        <v>1798.5</v>
      </c>
      <c r="M16" s="4" t="str">
        <f>IF(Semana4[[#This Row],[ID da Venda]]=B17,"",SUMIF(Semana4[ID da Venda],Semana4[[#This Row],[ID da Venda]],Semana4[Total]))</f>
        <v/>
      </c>
    </row>
    <row r="17" spans="2:13" x14ac:dyDescent="0.3">
      <c r="B17">
        <v>4</v>
      </c>
      <c r="C17" s="6">
        <v>45890</v>
      </c>
      <c r="D17" t="s">
        <v>72</v>
      </c>
      <c r="E17" t="str">
        <f>IFERROR(VLOOKUP(Semana4[[#This Row],[Produto]],'Cálculos e Anotações'!$K$5:$N$34,4,0),"")</f>
        <v>Kg</v>
      </c>
      <c r="F17">
        <v>234</v>
      </c>
      <c r="G17" s="4">
        <f>IFERROR(VLOOKUP(Semana4[[#This Row],[Produto]],'Cálculos e Anotações'!$K$5:$N$34,3,0),0)</f>
        <v>30.9</v>
      </c>
      <c r="H17" s="4">
        <f>Semana4[[#This Row],[Quantidade]]*Semana4[[#This Row],[Preço Unitário]]</f>
        <v>7230.5999999999995</v>
      </c>
      <c r="I17" s="5"/>
      <c r="J17" t="s">
        <v>156</v>
      </c>
      <c r="K17" s="4">
        <f>IFERROR(IF(Semana4[[#This Row],[ID da Venda]]=B18,0,VLOOKUP(Semana4[[#This Row],[Entrega]],'Cálculos e Anotações'!$C$37:$D$41,2,FALSE)),0)</f>
        <v>150</v>
      </c>
      <c r="L17" s="4">
        <f>Semana4[[#This Row],[Subtotal]]*(1-Semana4[[#This Row],[Desconto]])+Semana4[[#This Row],[Taxa de Entrega]]</f>
        <v>7380.5999999999995</v>
      </c>
      <c r="M17" s="4">
        <f>IF(Semana4[[#This Row],[ID da Venda]]=B18,"",SUMIF(Semana4[ID da Venda],Semana4[[#This Row],[ID da Venda]],Semana4[Total]))</f>
        <v>10027.099999999999</v>
      </c>
    </row>
    <row r="18" spans="2:13" x14ac:dyDescent="0.3">
      <c r="B18">
        <v>3</v>
      </c>
      <c r="C18" s="6">
        <v>45889</v>
      </c>
      <c r="D18" t="s">
        <v>84</v>
      </c>
      <c r="E18" t="str">
        <f>IFERROR(VLOOKUP(Semana4[[#This Row],[Produto]],'Cálculos e Anotações'!$K$5:$N$34,4,0),"")</f>
        <v>Pacote</v>
      </c>
      <c r="F18">
        <v>270</v>
      </c>
      <c r="G18" s="4">
        <f>IFERROR(VLOOKUP(Semana4[[#This Row],[Produto]],'Cálculos e Anotações'!$K$5:$N$34,3,0),0)</f>
        <v>0.95</v>
      </c>
      <c r="H18" s="4">
        <f>Semana4[[#This Row],[Quantidade]]*Semana4[[#This Row],[Preço Unitário]]</f>
        <v>256.5</v>
      </c>
      <c r="I18" s="5"/>
      <c r="J18" t="s">
        <v>155</v>
      </c>
      <c r="K18" s="4">
        <f>IFERROR(IF(Semana4[[#This Row],[ID da Venda]]=B19,0,VLOOKUP(Semana4[[#This Row],[Entrega]],'Cálculos e Anotações'!$C$37:$D$41,2,FALSE)),0)</f>
        <v>0</v>
      </c>
      <c r="L18" s="4">
        <f>Semana4[[#This Row],[Subtotal]]*(1-Semana4[[#This Row],[Desconto]])+Semana4[[#This Row],[Taxa de Entrega]]</f>
        <v>256.5</v>
      </c>
      <c r="M18" s="4" t="str">
        <f>IF(Semana4[[#This Row],[ID da Venda]]=B19,"",SUMIF(Semana4[ID da Venda],Semana4[[#This Row],[ID da Venda]],Semana4[Total]))</f>
        <v/>
      </c>
    </row>
    <row r="19" spans="2:13" x14ac:dyDescent="0.3">
      <c r="B19">
        <v>3</v>
      </c>
      <c r="C19" s="6">
        <v>45889</v>
      </c>
      <c r="D19" t="s">
        <v>69</v>
      </c>
      <c r="E19" t="str">
        <f>IFERROR(VLOOKUP(Semana4[[#This Row],[Produto]],'Cálculos e Anotações'!$K$5:$N$34,4,0),"")</f>
        <v>Kg</v>
      </c>
      <c r="F19">
        <v>250</v>
      </c>
      <c r="G19" s="4">
        <f>IFERROR(VLOOKUP(Semana4[[#This Row],[Produto]],'Cálculos e Anotações'!$K$5:$N$34,3,0),0)</f>
        <v>6.3</v>
      </c>
      <c r="H19" s="4">
        <f>Semana4[[#This Row],[Quantidade]]*Semana4[[#This Row],[Preço Unitário]]</f>
        <v>1575</v>
      </c>
      <c r="I19" s="5"/>
      <c r="J19" t="s">
        <v>155</v>
      </c>
      <c r="K19" s="4">
        <f>IFERROR(IF(Semana4[[#This Row],[ID da Venda]]=B20,0,VLOOKUP(Semana4[[#This Row],[Entrega]],'Cálculos e Anotações'!$C$37:$D$41,2,FALSE)),0)</f>
        <v>0</v>
      </c>
      <c r="L19" s="4">
        <f>Semana4[[#This Row],[Subtotal]]*(1-Semana4[[#This Row],[Desconto]])+Semana4[[#This Row],[Taxa de Entrega]]</f>
        <v>1575</v>
      </c>
      <c r="M19" s="4" t="str">
        <f>IF(Semana4[[#This Row],[ID da Venda]]=B20,"",SUMIF(Semana4[ID da Venda],Semana4[[#This Row],[ID da Venda]],Semana4[Total]))</f>
        <v/>
      </c>
    </row>
    <row r="20" spans="2:13" x14ac:dyDescent="0.3">
      <c r="B20">
        <v>3</v>
      </c>
      <c r="C20" s="6">
        <v>45889</v>
      </c>
      <c r="D20" t="s">
        <v>94</v>
      </c>
      <c r="E20" t="str">
        <f>IFERROR(VLOOKUP(Semana4[[#This Row],[Produto]],'Cálculos e Anotações'!$K$5:$N$34,4,0),"")</f>
        <v>Litro</v>
      </c>
      <c r="F20">
        <v>140</v>
      </c>
      <c r="G20" s="4">
        <f>IFERROR(VLOOKUP(Semana4[[#This Row],[Produto]],'Cálculos e Anotações'!$K$5:$N$34,3,0),0)</f>
        <v>4.3899999999999997</v>
      </c>
      <c r="H20" s="4">
        <f>Semana4[[#This Row],[Quantidade]]*Semana4[[#This Row],[Preço Unitário]]</f>
        <v>614.59999999999991</v>
      </c>
      <c r="I20" s="5"/>
      <c r="J20" t="s">
        <v>155</v>
      </c>
      <c r="K20" s="4">
        <f>IFERROR(IF(Semana4[[#This Row],[ID da Venda]]=B21,0,VLOOKUP(Semana4[[#This Row],[Entrega]],'Cálculos e Anotações'!$C$37:$D$41,2,FALSE)),0)</f>
        <v>0</v>
      </c>
      <c r="L20" s="4">
        <f>Semana4[[#This Row],[Subtotal]]*(1-Semana4[[#This Row],[Desconto]])+Semana4[[#This Row],[Taxa de Entrega]]</f>
        <v>614.59999999999991</v>
      </c>
      <c r="M20" s="4" t="str">
        <f>IF(Semana4[[#This Row],[ID da Venda]]=B21,"",SUMIF(Semana4[ID da Venda],Semana4[[#This Row],[ID da Venda]],Semana4[Total]))</f>
        <v/>
      </c>
    </row>
    <row r="21" spans="2:13" x14ac:dyDescent="0.3">
      <c r="B21">
        <v>3</v>
      </c>
      <c r="C21" s="6">
        <v>45889</v>
      </c>
      <c r="D21" t="s">
        <v>89</v>
      </c>
      <c r="E21" t="str">
        <f>IFERROR(VLOOKUP(Semana4[[#This Row],[Produto]],'Cálculos e Anotações'!$K$5:$N$34,4,0),"")</f>
        <v>Unidade</v>
      </c>
      <c r="F21">
        <v>300</v>
      </c>
      <c r="G21" s="4">
        <f>IFERROR(VLOOKUP(Semana4[[#This Row],[Produto]],'Cálculos e Anotações'!$K$5:$N$34,3,0),0)</f>
        <v>2.8</v>
      </c>
      <c r="H21" s="4">
        <f>Semana4[[#This Row],[Quantidade]]*Semana4[[#This Row],[Preço Unitário]]</f>
        <v>840</v>
      </c>
      <c r="I21" s="5"/>
      <c r="J21" t="s">
        <v>155</v>
      </c>
      <c r="K21" s="4">
        <f>IFERROR(IF(Semana4[[#This Row],[ID da Venda]]=B22,0,VLOOKUP(Semana4[[#This Row],[Entrega]],'Cálculos e Anotações'!$C$37:$D$41,2,FALSE)),0)</f>
        <v>210</v>
      </c>
      <c r="L21" s="4">
        <f>Semana4[[#This Row],[Subtotal]]*(1-Semana4[[#This Row],[Desconto]])+Semana4[[#This Row],[Taxa de Entrega]]</f>
        <v>1050</v>
      </c>
      <c r="M21" s="4">
        <f>IF(Semana4[[#This Row],[ID da Venda]]=B22,"",SUMIF(Semana4[ID da Venda],Semana4[[#This Row],[ID da Venda]],Semana4[Total]))</f>
        <v>3496.1</v>
      </c>
    </row>
    <row r="22" spans="2:13" x14ac:dyDescent="0.3">
      <c r="B22">
        <v>2</v>
      </c>
      <c r="C22" s="6">
        <v>45888</v>
      </c>
      <c r="D22" t="s">
        <v>92</v>
      </c>
      <c r="E22" t="str">
        <f>IFERROR(VLOOKUP(Semana4[[#This Row],[Produto]],'Cálculos e Anotações'!$K$5:$N$34,4,0),"")</f>
        <v>Kg</v>
      </c>
      <c r="F22">
        <v>101</v>
      </c>
      <c r="G22" s="4">
        <f>IFERROR(VLOOKUP(Semana4[[#This Row],[Produto]],'Cálculos e Anotações'!$K$5:$N$34,3,0),0)</f>
        <v>9.9</v>
      </c>
      <c r="H22" s="4">
        <f>Semana4[[#This Row],[Quantidade]]*Semana4[[#This Row],[Preço Unitário]]</f>
        <v>999.90000000000009</v>
      </c>
      <c r="I22" s="5">
        <v>0.04</v>
      </c>
      <c r="J22" t="s">
        <v>156</v>
      </c>
      <c r="K22" s="4">
        <f>IFERROR(IF(Semana4[[#This Row],[ID da Venda]]=B23,0,VLOOKUP(Semana4[[#This Row],[Entrega]],'Cálculos e Anotações'!$C$37:$D$41,2,FALSE)),0)</f>
        <v>0</v>
      </c>
      <c r="L22" s="4">
        <f>Semana4[[#This Row],[Subtotal]]*(1-Semana4[[#This Row],[Desconto]])+Semana4[[#This Row],[Taxa de Entrega]]</f>
        <v>959.904</v>
      </c>
      <c r="M22" s="4" t="str">
        <f>IF(Semana4[[#This Row],[ID da Venda]]=B23,"",SUMIF(Semana4[ID da Venda],Semana4[[#This Row],[ID da Venda]],Semana4[Total]))</f>
        <v/>
      </c>
    </row>
    <row r="23" spans="2:13" x14ac:dyDescent="0.3">
      <c r="B23">
        <v>2</v>
      </c>
      <c r="C23" s="6">
        <v>45888</v>
      </c>
      <c r="D23" t="s">
        <v>78</v>
      </c>
      <c r="E23" t="str">
        <f>IFERROR(VLOOKUP(Semana4[[#This Row],[Produto]],'Cálculos e Anotações'!$K$5:$N$34,4,0),"")</f>
        <v>Kg</v>
      </c>
      <c r="F23">
        <v>240</v>
      </c>
      <c r="G23" s="4">
        <f>IFERROR(VLOOKUP(Semana4[[#This Row],[Produto]],'Cálculos e Anotações'!$K$5:$N$34,3,0),0)</f>
        <v>5.3</v>
      </c>
      <c r="H23" s="4">
        <f>Semana4[[#This Row],[Quantidade]]*Semana4[[#This Row],[Preço Unitário]]</f>
        <v>1272</v>
      </c>
      <c r="I23" s="5"/>
      <c r="J23" t="s">
        <v>156</v>
      </c>
      <c r="K23" s="4">
        <f>IFERROR(IF(Semana4[[#This Row],[ID da Venda]]=B24,0,VLOOKUP(Semana4[[#This Row],[Entrega]],'Cálculos e Anotações'!$C$37:$D$41,2,FALSE)),0)</f>
        <v>0</v>
      </c>
      <c r="L23" s="4">
        <f>Semana4[[#This Row],[Subtotal]]*(1-Semana4[[#This Row],[Desconto]])+Semana4[[#This Row],[Taxa de Entrega]]</f>
        <v>1272</v>
      </c>
      <c r="M23" s="4" t="str">
        <f>IF(Semana4[[#This Row],[ID da Venda]]=B24,"",SUMIF(Semana4[ID da Venda],Semana4[[#This Row],[ID da Venda]],Semana4[Total]))</f>
        <v/>
      </c>
    </row>
    <row r="24" spans="2:13" x14ac:dyDescent="0.3">
      <c r="B24">
        <v>2</v>
      </c>
      <c r="C24" s="6">
        <v>45888</v>
      </c>
      <c r="D24" t="s">
        <v>100</v>
      </c>
      <c r="E24" t="str">
        <f>IFERROR(VLOOKUP(Semana4[[#This Row],[Produto]],'Cálculos e Anotações'!$K$5:$N$34,4,0),"")</f>
        <v>Kg</v>
      </c>
      <c r="F24">
        <v>240</v>
      </c>
      <c r="G24" s="4">
        <f>IFERROR(VLOOKUP(Semana4[[#This Row],[Produto]],'Cálculos e Anotações'!$K$5:$N$34,3,0),0)</f>
        <v>32</v>
      </c>
      <c r="H24" s="4">
        <f>Semana4[[#This Row],[Quantidade]]*Semana4[[#This Row],[Preço Unitário]]</f>
        <v>7680</v>
      </c>
      <c r="I24" s="5">
        <v>0.01</v>
      </c>
      <c r="J24" t="s">
        <v>156</v>
      </c>
      <c r="K24" s="4">
        <f>IFERROR(IF(Semana4[[#This Row],[ID da Venda]]=B25,0,VLOOKUP(Semana4[[#This Row],[Entrega]],'Cálculos e Anotações'!$C$37:$D$41,2,FALSE)),0)</f>
        <v>0</v>
      </c>
      <c r="L24" s="4">
        <f>Semana4[[#This Row],[Subtotal]]*(1-Semana4[[#This Row],[Desconto]])+Semana4[[#This Row],[Taxa de Entrega]]</f>
        <v>7603.2</v>
      </c>
      <c r="M24" s="4" t="str">
        <f>IF(Semana4[[#This Row],[ID da Venda]]=B25,"",SUMIF(Semana4[ID da Venda],Semana4[[#This Row],[ID da Venda]],Semana4[Total]))</f>
        <v/>
      </c>
    </row>
    <row r="25" spans="2:13" x14ac:dyDescent="0.3">
      <c r="B25">
        <v>2</v>
      </c>
      <c r="C25" s="6">
        <v>45888</v>
      </c>
      <c r="D25" t="s">
        <v>100</v>
      </c>
      <c r="E25" t="str">
        <f>IFERROR(VLOOKUP(Semana4[[#This Row],[Produto]],'Cálculos e Anotações'!$K$5:$N$34,4,0),"")</f>
        <v>Kg</v>
      </c>
      <c r="F25">
        <v>222</v>
      </c>
      <c r="G25" s="4">
        <f>IFERROR(VLOOKUP(Semana4[[#This Row],[Produto]],'Cálculos e Anotações'!$K$5:$N$34,3,0),0)</f>
        <v>32</v>
      </c>
      <c r="H25" s="4">
        <f>Semana4[[#This Row],[Quantidade]]*Semana4[[#This Row],[Preço Unitário]]</f>
        <v>7104</v>
      </c>
      <c r="I25" s="5"/>
      <c r="J25" t="s">
        <v>156</v>
      </c>
      <c r="K25" s="4">
        <f>IFERROR(IF(Semana4[[#This Row],[ID da Venda]]=B26,0,VLOOKUP(Semana4[[#This Row],[Entrega]],'Cálculos e Anotações'!$C$37:$D$41,2,FALSE)),0)</f>
        <v>0</v>
      </c>
      <c r="L25" s="4">
        <f>Semana4[[#This Row],[Subtotal]]*(1-Semana4[[#This Row],[Desconto]])+Semana4[[#This Row],[Taxa de Entrega]]</f>
        <v>7104</v>
      </c>
      <c r="M25" s="4" t="str">
        <f>IF(Semana4[[#This Row],[ID da Venda]]=B26,"",SUMIF(Semana4[ID da Venda],Semana4[[#This Row],[ID da Venda]],Semana4[Total]))</f>
        <v/>
      </c>
    </row>
    <row r="26" spans="2:13" x14ac:dyDescent="0.3">
      <c r="B26">
        <v>2</v>
      </c>
      <c r="C26" s="6">
        <v>45888</v>
      </c>
      <c r="D26" t="s">
        <v>104</v>
      </c>
      <c r="E26" t="str">
        <f>IFERROR(VLOOKUP(Semana4[[#This Row],[Produto]],'Cálculos e Anotações'!$K$5:$N$34,4,0),"")</f>
        <v>Garrafa</v>
      </c>
      <c r="F26">
        <v>110</v>
      </c>
      <c r="G26" s="4">
        <f>IFERROR(VLOOKUP(Semana4[[#This Row],[Produto]],'Cálculos e Anotações'!$K$5:$N$34,3,0),0)</f>
        <v>58</v>
      </c>
      <c r="H26" s="4">
        <f>Semana4[[#This Row],[Quantidade]]*Semana4[[#This Row],[Preço Unitário]]</f>
        <v>6380</v>
      </c>
      <c r="I26" s="5"/>
      <c r="J26" t="s">
        <v>156</v>
      </c>
      <c r="K26" s="4">
        <f>IFERROR(IF(Semana4[[#This Row],[ID da Venda]]=B27,0,VLOOKUP(Semana4[[#This Row],[Entrega]],'Cálculos e Anotações'!$C$37:$D$41,2,FALSE)),0)</f>
        <v>150</v>
      </c>
      <c r="L26" s="4">
        <f>Semana4[[#This Row],[Subtotal]]*(1-Semana4[[#This Row],[Desconto]])+Semana4[[#This Row],[Taxa de Entrega]]</f>
        <v>6530</v>
      </c>
      <c r="M26" s="4">
        <f>IF(Semana4[[#This Row],[ID da Venda]]=B27,"",SUMIF(Semana4[ID da Venda],Semana4[[#This Row],[ID da Venda]],Semana4[Total]))</f>
        <v>23469.103999999999</v>
      </c>
    </row>
    <row r="27" spans="2:13" x14ac:dyDescent="0.3">
      <c r="B27">
        <v>1</v>
      </c>
      <c r="C27" s="6">
        <v>45887</v>
      </c>
      <c r="D27" t="s">
        <v>74</v>
      </c>
      <c r="E27" t="str">
        <f>IFERROR(VLOOKUP(Semana4[[#This Row],[Produto]],'Cálculos e Anotações'!$K$5:$N$34,4,0),"")</f>
        <v>Lata</v>
      </c>
      <c r="F27">
        <v>40</v>
      </c>
      <c r="G27" s="4">
        <f>IFERROR(VLOOKUP(Semana4[[#This Row],[Produto]],'Cálculos e Anotações'!$K$5:$N$34,3,0),0)</f>
        <v>2.75</v>
      </c>
      <c r="H27" s="4">
        <f>Semana4[[#This Row],[Quantidade]]*Semana4[[#This Row],[Preço Unitário]]</f>
        <v>110</v>
      </c>
      <c r="I27" s="5"/>
      <c r="J27" t="s">
        <v>152</v>
      </c>
      <c r="K27" s="4">
        <f>IFERROR(IF(Semana4[[#This Row],[ID da Venda]]=B28,0,VLOOKUP(Semana4[[#This Row],[Entrega]],'Cálculos e Anotações'!$C$37:$D$41,2,FALSE)),0)</f>
        <v>0</v>
      </c>
      <c r="L27" s="4">
        <f>Semana4[[#This Row],[Subtotal]]*(1-Semana4[[#This Row],[Desconto]])+Semana4[[#This Row],[Taxa de Entrega]]</f>
        <v>110</v>
      </c>
      <c r="M27" s="4" t="str">
        <f>IF(Semana4[[#This Row],[ID da Venda]]=B28,"",SUMIF(Semana4[ID da Venda],Semana4[[#This Row],[ID da Venda]],Semana4[Total]))</f>
        <v/>
      </c>
    </row>
    <row r="28" spans="2:13" x14ac:dyDescent="0.3">
      <c r="B28">
        <v>1</v>
      </c>
      <c r="C28" s="6">
        <v>45887</v>
      </c>
      <c r="D28" t="s">
        <v>72</v>
      </c>
      <c r="E28" t="str">
        <f>IFERROR(VLOOKUP(Semana4[[#This Row],[Produto]],'Cálculos e Anotações'!$K$5:$N$34,4,0),"")</f>
        <v>Kg</v>
      </c>
      <c r="F28">
        <v>10</v>
      </c>
      <c r="G28" s="4">
        <f>IFERROR(VLOOKUP(Semana4[[#This Row],[Produto]],'Cálculos e Anotações'!$K$5:$N$34,3,0),0)</f>
        <v>30.9</v>
      </c>
      <c r="H28" s="4">
        <f>Semana4[[#This Row],[Quantidade]]*Semana4[[#This Row],[Preço Unitário]]</f>
        <v>309</v>
      </c>
      <c r="I28" s="5"/>
      <c r="J28" t="s">
        <v>152</v>
      </c>
      <c r="K28" s="4">
        <f>IFERROR(IF(Semana4[[#This Row],[ID da Venda]]=B29,0,VLOOKUP(Semana4[[#This Row],[Entrega]],'Cálculos e Anotações'!$C$37:$D$41,2,FALSE)),0)</f>
        <v>0</v>
      </c>
      <c r="L28" s="4">
        <f>Semana4[[#This Row],[Subtotal]]*(1-Semana4[[#This Row],[Desconto]])+Semana4[[#This Row],[Taxa de Entrega]]</f>
        <v>309</v>
      </c>
      <c r="M28" s="4" t="str">
        <f>IF(Semana4[[#This Row],[ID da Venda]]=B29,"",SUMIF(Semana4[ID da Venda],Semana4[[#This Row],[ID da Venda]],Semana4[Total]))</f>
        <v/>
      </c>
    </row>
    <row r="29" spans="2:13" x14ac:dyDescent="0.3">
      <c r="B29">
        <v>1</v>
      </c>
      <c r="C29" s="6">
        <v>45887</v>
      </c>
      <c r="D29" t="s">
        <v>82</v>
      </c>
      <c r="E29" t="str">
        <f>IFERROR(VLOOKUP(Semana4[[#This Row],[Produto]],'Cálculos e Anotações'!$K$5:$N$34,4,0),"")</f>
        <v>Pacote</v>
      </c>
      <c r="F29">
        <v>70</v>
      </c>
      <c r="G29" s="4">
        <f>IFERROR(VLOOKUP(Semana4[[#This Row],[Produto]],'Cálculos e Anotações'!$K$5:$N$34,3,0),0)</f>
        <v>1.35</v>
      </c>
      <c r="H29" s="4">
        <f>Semana4[[#This Row],[Quantidade]]*Semana4[[#This Row],[Preço Unitário]]</f>
        <v>94.5</v>
      </c>
      <c r="I29" s="5"/>
      <c r="J29" t="s">
        <v>152</v>
      </c>
      <c r="K29" s="4">
        <f>IFERROR(IF(Semana4[[#This Row],[ID da Venda]]=B30,0,VLOOKUP(Semana4[[#This Row],[Entrega]],'Cálculos e Anotações'!$C$37:$D$41,2,FALSE)),0)</f>
        <v>0</v>
      </c>
      <c r="L29" s="4">
        <f>Semana4[[#This Row],[Subtotal]]*(1-Semana4[[#This Row],[Desconto]])+Semana4[[#This Row],[Taxa de Entrega]]</f>
        <v>94.5</v>
      </c>
      <c r="M29" s="4">
        <f>IF(Semana4[[#This Row],[ID da Venda]]=B30,"",SUMIF(Semana4[ID da Venda],Semana4[[#This Row],[ID da Venda]],Semana4[Total]))</f>
        <v>513.5</v>
      </c>
    </row>
    <row r="32" spans="2:13" ht="24" thickBot="1" x14ac:dyDescent="0.5">
      <c r="B32" s="29" t="s">
        <v>164</v>
      </c>
      <c r="C32" s="29"/>
      <c r="D32" s="29"/>
      <c r="E32" s="30"/>
      <c r="F32" s="29"/>
      <c r="G32" s="29"/>
      <c r="H32" s="29"/>
      <c r="I32" s="30"/>
      <c r="J32" s="29"/>
      <c r="K32" s="29"/>
      <c r="L32" s="29"/>
      <c r="M32" s="30">
        <f>SUM(Semana4[Total])</f>
        <v>50955.31</v>
      </c>
    </row>
    <row r="33" spans="2:13" ht="24" thickBot="1" x14ac:dyDescent="0.5">
      <c r="B33" s="31" t="s">
        <v>165</v>
      </c>
      <c r="C33" s="31"/>
      <c r="D33" s="31"/>
      <c r="E33" s="32"/>
      <c r="F33" s="31"/>
      <c r="G33" s="31"/>
      <c r="H33" s="31"/>
      <c r="I33" s="32"/>
      <c r="J33" s="31"/>
      <c r="K33" s="31"/>
      <c r="L33" s="31"/>
      <c r="M33" s="32">
        <f>SUM(Semana4[Taxa de Entrega])</f>
        <v>910</v>
      </c>
    </row>
    <row r="34" spans="2:13" ht="23.4" x14ac:dyDescent="0.45">
      <c r="B34" s="31" t="s">
        <v>151</v>
      </c>
      <c r="C34" s="31"/>
      <c r="D34" s="31"/>
      <c r="E34" s="32"/>
      <c r="F34" s="31"/>
      <c r="G34" s="31"/>
      <c r="H34" s="31"/>
      <c r="I34" s="32"/>
      <c r="J34" s="31"/>
      <c r="K34" s="31"/>
      <c r="L34" s="31"/>
      <c r="M34" s="57" cm="1">
        <f t="array" ref="M34">SUM(IF(FREQUENCY(Semana4[ID da Venda],Semana4[ID da Venda])&gt;0,1,0))</f>
        <v>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09D777-B956-4143-AA56-8F0338CD2790}">
          <x14:formula1>
            <xm:f>'Cálculos e Anotações'!$K$5:$K$34</xm:f>
          </x14:formula1>
          <xm:sqref>D5:D29</xm:sqref>
        </x14:dataValidation>
        <x14:dataValidation type="list" allowBlank="1" showInputMessage="1" showErrorMessage="1" xr:uid="{E5F61AF5-E745-4D14-ABAC-ED7926A88736}">
          <x14:formula1>
            <xm:f>'Cálculos e Anotações'!$C$37:$C$41</xm:f>
          </x14:formula1>
          <xm:sqref>J5:J29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FA242-2231-433C-A94E-F1E6E91E7F3D}">
  <dimension ref="B4:E82"/>
  <sheetViews>
    <sheetView showGridLines="0" zoomScale="85" zoomScaleNormal="85" workbookViewId="0">
      <selection activeCell="L47" sqref="L47"/>
    </sheetView>
  </sheetViews>
  <sheetFormatPr defaultRowHeight="14.4" x14ac:dyDescent="0.3"/>
  <cols>
    <col min="1" max="1" width="18.6640625" bestFit="1" customWidth="1"/>
    <col min="2" max="2" width="19.88671875" bestFit="1" customWidth="1"/>
    <col min="3" max="3" width="20.88671875" customWidth="1"/>
    <col min="4" max="4" width="24.44140625" customWidth="1"/>
    <col min="5" max="5" width="15.88671875" customWidth="1"/>
    <col min="6" max="6" width="17.33203125" bestFit="1" customWidth="1"/>
    <col min="7" max="7" width="18.6640625" bestFit="1" customWidth="1"/>
    <col min="8" max="8" width="18.88671875" bestFit="1" customWidth="1"/>
    <col min="9" max="9" width="22.44140625" bestFit="1" customWidth="1"/>
    <col min="10" max="10" width="13.109375" bestFit="1" customWidth="1"/>
  </cols>
  <sheetData>
    <row r="4" spans="2:4" x14ac:dyDescent="0.3">
      <c r="B4" s="88" t="s">
        <v>167</v>
      </c>
      <c r="C4" t="s">
        <v>168</v>
      </c>
      <c r="D4" t="s">
        <v>169</v>
      </c>
    </row>
    <row r="5" spans="2:4" x14ac:dyDescent="0.3">
      <c r="B5" s="89">
        <v>45893</v>
      </c>
      <c r="C5">
        <v>636</v>
      </c>
      <c r="D5" s="90">
        <v>3363.62</v>
      </c>
    </row>
    <row r="6" spans="2:4" x14ac:dyDescent="0.3">
      <c r="B6" s="91" t="s">
        <v>96</v>
      </c>
      <c r="C6">
        <v>156</v>
      </c>
      <c r="D6" s="90">
        <v>491.4</v>
      </c>
    </row>
    <row r="7" spans="2:4" x14ac:dyDescent="0.3">
      <c r="B7" s="91" t="s">
        <v>92</v>
      </c>
      <c r="C7">
        <v>110</v>
      </c>
      <c r="D7" s="90">
        <v>1045.44</v>
      </c>
    </row>
    <row r="8" spans="2:4" x14ac:dyDescent="0.3">
      <c r="B8" s="91" t="s">
        <v>86</v>
      </c>
      <c r="C8">
        <v>150</v>
      </c>
      <c r="D8" s="90">
        <v>817.5</v>
      </c>
    </row>
    <row r="9" spans="2:4" x14ac:dyDescent="0.3">
      <c r="B9" s="91" t="s">
        <v>102</v>
      </c>
      <c r="C9">
        <v>220</v>
      </c>
      <c r="D9" s="90">
        <v>1009.28</v>
      </c>
    </row>
    <row r="10" spans="2:4" x14ac:dyDescent="0.3">
      <c r="B10" s="89">
        <v>45892</v>
      </c>
      <c r="C10">
        <v>350</v>
      </c>
      <c r="D10" s="90">
        <v>5118.5360000000001</v>
      </c>
    </row>
    <row r="11" spans="2:4" x14ac:dyDescent="0.3">
      <c r="B11" s="91" t="s">
        <v>103</v>
      </c>
      <c r="C11">
        <v>120</v>
      </c>
      <c r="D11" s="90">
        <v>4230</v>
      </c>
    </row>
    <row r="12" spans="2:4" x14ac:dyDescent="0.3">
      <c r="B12" s="91" t="s">
        <v>94</v>
      </c>
      <c r="C12">
        <v>230</v>
      </c>
      <c r="D12" s="90">
        <v>888.53599999999994</v>
      </c>
    </row>
    <row r="13" spans="2:4" x14ac:dyDescent="0.3">
      <c r="B13" s="89">
        <v>45891</v>
      </c>
      <c r="C13">
        <v>1167</v>
      </c>
      <c r="D13" s="90">
        <v>4967.3500000000004</v>
      </c>
    </row>
    <row r="14" spans="2:4" x14ac:dyDescent="0.3">
      <c r="B14" s="91" t="s">
        <v>75</v>
      </c>
      <c r="C14">
        <v>235</v>
      </c>
      <c r="D14" s="90">
        <v>810.75</v>
      </c>
    </row>
    <row r="15" spans="2:4" x14ac:dyDescent="0.3">
      <c r="B15" s="91" t="s">
        <v>90</v>
      </c>
      <c r="C15">
        <v>102</v>
      </c>
      <c r="D15" s="90">
        <v>693.6</v>
      </c>
    </row>
    <row r="16" spans="2:4" x14ac:dyDescent="0.3">
      <c r="B16" s="91" t="s">
        <v>88</v>
      </c>
      <c r="C16">
        <v>500</v>
      </c>
      <c r="D16" s="90">
        <v>3017.5</v>
      </c>
    </row>
    <row r="17" spans="2:4" x14ac:dyDescent="0.3">
      <c r="B17" s="91" t="s">
        <v>82</v>
      </c>
      <c r="C17">
        <v>330</v>
      </c>
      <c r="D17" s="90">
        <v>445.50000000000006</v>
      </c>
    </row>
    <row r="18" spans="2:4" x14ac:dyDescent="0.3">
      <c r="B18" s="89">
        <v>45890</v>
      </c>
      <c r="C18">
        <v>884</v>
      </c>
      <c r="D18" s="90">
        <v>10027.099999999999</v>
      </c>
    </row>
    <row r="19" spans="2:4" x14ac:dyDescent="0.3">
      <c r="B19" s="91" t="s">
        <v>86</v>
      </c>
      <c r="C19">
        <v>330</v>
      </c>
      <c r="D19" s="90">
        <v>1798.5</v>
      </c>
    </row>
    <row r="20" spans="2:4" x14ac:dyDescent="0.3">
      <c r="B20" s="91" t="s">
        <v>101</v>
      </c>
      <c r="C20">
        <v>320</v>
      </c>
      <c r="D20" s="90">
        <v>848</v>
      </c>
    </row>
    <row r="21" spans="2:4" x14ac:dyDescent="0.3">
      <c r="B21" s="91" t="s">
        <v>72</v>
      </c>
      <c r="C21">
        <v>234</v>
      </c>
      <c r="D21" s="90">
        <v>7380.5999999999995</v>
      </c>
    </row>
    <row r="22" spans="2:4" x14ac:dyDescent="0.3">
      <c r="B22" s="89">
        <v>45889</v>
      </c>
      <c r="C22">
        <v>960</v>
      </c>
      <c r="D22" s="90">
        <v>3496.1</v>
      </c>
    </row>
    <row r="23" spans="2:4" x14ac:dyDescent="0.3">
      <c r="B23" s="91" t="s">
        <v>94</v>
      </c>
      <c r="C23">
        <v>140</v>
      </c>
      <c r="D23" s="90">
        <v>614.59999999999991</v>
      </c>
    </row>
    <row r="24" spans="2:4" x14ac:dyDescent="0.3">
      <c r="B24" s="91" t="s">
        <v>84</v>
      </c>
      <c r="C24">
        <v>270</v>
      </c>
      <c r="D24" s="90">
        <v>256.5</v>
      </c>
    </row>
    <row r="25" spans="2:4" x14ac:dyDescent="0.3">
      <c r="B25" s="91" t="s">
        <v>69</v>
      </c>
      <c r="C25">
        <v>250</v>
      </c>
      <c r="D25" s="90">
        <v>1575</v>
      </c>
    </row>
    <row r="26" spans="2:4" x14ac:dyDescent="0.3">
      <c r="B26" s="91" t="s">
        <v>89</v>
      </c>
      <c r="C26">
        <v>300</v>
      </c>
      <c r="D26" s="90">
        <v>1050</v>
      </c>
    </row>
    <row r="27" spans="2:4" x14ac:dyDescent="0.3">
      <c r="B27" s="89">
        <v>45888</v>
      </c>
      <c r="C27">
        <v>913</v>
      </c>
      <c r="D27" s="90">
        <v>23469.103999999999</v>
      </c>
    </row>
    <row r="28" spans="2:4" x14ac:dyDescent="0.3">
      <c r="B28" s="91" t="s">
        <v>92</v>
      </c>
      <c r="C28">
        <v>101</v>
      </c>
      <c r="D28" s="90">
        <v>959.904</v>
      </c>
    </row>
    <row r="29" spans="2:4" x14ac:dyDescent="0.3">
      <c r="B29" s="91" t="s">
        <v>78</v>
      </c>
      <c r="C29">
        <v>240</v>
      </c>
      <c r="D29" s="90">
        <v>1272</v>
      </c>
    </row>
    <row r="30" spans="2:4" x14ac:dyDescent="0.3">
      <c r="B30" s="91" t="s">
        <v>100</v>
      </c>
      <c r="C30">
        <v>462</v>
      </c>
      <c r="D30" s="90">
        <v>14707.2</v>
      </c>
    </row>
    <row r="31" spans="2:4" x14ac:dyDescent="0.3">
      <c r="B31" s="91" t="s">
        <v>104</v>
      </c>
      <c r="C31">
        <v>110</v>
      </c>
      <c r="D31" s="90">
        <v>6530</v>
      </c>
    </row>
    <row r="32" spans="2:4" x14ac:dyDescent="0.3">
      <c r="B32" s="89">
        <v>45887</v>
      </c>
      <c r="C32">
        <v>120</v>
      </c>
      <c r="D32" s="90">
        <v>513.5</v>
      </c>
    </row>
    <row r="33" spans="2:4" x14ac:dyDescent="0.3">
      <c r="B33" s="91" t="s">
        <v>82</v>
      </c>
      <c r="C33">
        <v>70</v>
      </c>
      <c r="D33" s="90">
        <v>94.5</v>
      </c>
    </row>
    <row r="34" spans="2:4" x14ac:dyDescent="0.3">
      <c r="B34" s="91" t="s">
        <v>72</v>
      </c>
      <c r="C34">
        <v>10</v>
      </c>
      <c r="D34" s="90">
        <v>309</v>
      </c>
    </row>
    <row r="35" spans="2:4" x14ac:dyDescent="0.3">
      <c r="B35" s="91" t="s">
        <v>74</v>
      </c>
      <c r="C35">
        <v>40</v>
      </c>
      <c r="D35" s="90">
        <v>110</v>
      </c>
    </row>
    <row r="36" spans="2:4" x14ac:dyDescent="0.3">
      <c r="B36" s="89" t="s">
        <v>170</v>
      </c>
      <c r="C36">
        <v>5030</v>
      </c>
      <c r="D36" s="90">
        <v>50955.31</v>
      </c>
    </row>
    <row r="55" spans="2:5" x14ac:dyDescent="0.3">
      <c r="B55" s="88" t="s">
        <v>171</v>
      </c>
      <c r="C55" t="s">
        <v>168</v>
      </c>
      <c r="D55" t="s">
        <v>172</v>
      </c>
      <c r="E55" t="s">
        <v>169</v>
      </c>
    </row>
    <row r="56" spans="2:5" x14ac:dyDescent="0.3">
      <c r="B56" s="92" t="s">
        <v>154</v>
      </c>
      <c r="C56">
        <v>636</v>
      </c>
      <c r="D56" s="90">
        <v>190</v>
      </c>
      <c r="E56" s="90">
        <v>3363.62</v>
      </c>
    </row>
    <row r="57" spans="2:5" x14ac:dyDescent="0.3">
      <c r="B57" s="91" t="s">
        <v>96</v>
      </c>
      <c r="C57">
        <v>156</v>
      </c>
      <c r="D57" s="90">
        <v>0</v>
      </c>
      <c r="E57" s="90">
        <v>491.4</v>
      </c>
    </row>
    <row r="58" spans="2:5" x14ac:dyDescent="0.3">
      <c r="B58" s="91" t="s">
        <v>92</v>
      </c>
      <c r="C58">
        <v>110</v>
      </c>
      <c r="D58" s="90">
        <v>0</v>
      </c>
      <c r="E58" s="90">
        <v>1045.44</v>
      </c>
    </row>
    <row r="59" spans="2:5" x14ac:dyDescent="0.3">
      <c r="B59" s="91" t="s">
        <v>86</v>
      </c>
      <c r="C59">
        <v>150</v>
      </c>
      <c r="D59" s="90">
        <v>0</v>
      </c>
      <c r="E59" s="90">
        <v>817.5</v>
      </c>
    </row>
    <row r="60" spans="2:5" x14ac:dyDescent="0.3">
      <c r="B60" s="91" t="s">
        <v>102</v>
      </c>
      <c r="C60">
        <v>220</v>
      </c>
      <c r="D60" s="90">
        <v>190</v>
      </c>
      <c r="E60" s="90">
        <v>1009.28</v>
      </c>
    </row>
    <row r="61" spans="2:5" x14ac:dyDescent="0.3">
      <c r="B61" s="92" t="s">
        <v>155</v>
      </c>
      <c r="C61">
        <v>1310</v>
      </c>
      <c r="D61" s="90">
        <v>420</v>
      </c>
      <c r="E61" s="90">
        <v>8614.6360000000004</v>
      </c>
    </row>
    <row r="62" spans="2:5" x14ac:dyDescent="0.3">
      <c r="B62" s="91" t="s">
        <v>103</v>
      </c>
      <c r="C62">
        <v>120</v>
      </c>
      <c r="D62" s="90">
        <v>210</v>
      </c>
      <c r="E62" s="90">
        <v>4230</v>
      </c>
    </row>
    <row r="63" spans="2:5" x14ac:dyDescent="0.3">
      <c r="B63" s="91" t="s">
        <v>94</v>
      </c>
      <c r="C63">
        <v>370</v>
      </c>
      <c r="D63" s="90">
        <v>0</v>
      </c>
      <c r="E63" s="90">
        <v>1503.136</v>
      </c>
    </row>
    <row r="64" spans="2:5" x14ac:dyDescent="0.3">
      <c r="B64" s="91" t="s">
        <v>84</v>
      </c>
      <c r="C64">
        <v>270</v>
      </c>
      <c r="D64" s="90">
        <v>0</v>
      </c>
      <c r="E64" s="90">
        <v>256.5</v>
      </c>
    </row>
    <row r="65" spans="2:5" x14ac:dyDescent="0.3">
      <c r="B65" s="91" t="s">
        <v>69</v>
      </c>
      <c r="C65">
        <v>250</v>
      </c>
      <c r="D65" s="90">
        <v>0</v>
      </c>
      <c r="E65" s="90">
        <v>1575</v>
      </c>
    </row>
    <row r="66" spans="2:5" x14ac:dyDescent="0.3">
      <c r="B66" s="91" t="s">
        <v>89</v>
      </c>
      <c r="C66">
        <v>300</v>
      </c>
      <c r="D66" s="90">
        <v>210</v>
      </c>
      <c r="E66" s="90">
        <v>1050</v>
      </c>
    </row>
    <row r="67" spans="2:5" x14ac:dyDescent="0.3">
      <c r="B67" s="92" t="s">
        <v>152</v>
      </c>
      <c r="C67">
        <v>1287</v>
      </c>
      <c r="D67" s="90">
        <v>0</v>
      </c>
      <c r="E67" s="90">
        <v>5480.85</v>
      </c>
    </row>
    <row r="68" spans="2:5" x14ac:dyDescent="0.3">
      <c r="B68" s="91" t="s">
        <v>75</v>
      </c>
      <c r="C68">
        <v>235</v>
      </c>
      <c r="D68" s="90">
        <v>0</v>
      </c>
      <c r="E68" s="90">
        <v>810.75</v>
      </c>
    </row>
    <row r="69" spans="2:5" x14ac:dyDescent="0.3">
      <c r="B69" s="91" t="s">
        <v>90</v>
      </c>
      <c r="C69">
        <v>102</v>
      </c>
      <c r="D69" s="90">
        <v>0</v>
      </c>
      <c r="E69" s="90">
        <v>693.6</v>
      </c>
    </row>
    <row r="70" spans="2:5" x14ac:dyDescent="0.3">
      <c r="B70" s="91" t="s">
        <v>88</v>
      </c>
      <c r="C70">
        <v>500</v>
      </c>
      <c r="D70" s="90">
        <v>0</v>
      </c>
      <c r="E70" s="90">
        <v>3017.5</v>
      </c>
    </row>
    <row r="71" spans="2:5" x14ac:dyDescent="0.3">
      <c r="B71" s="91" t="s">
        <v>82</v>
      </c>
      <c r="C71">
        <v>400</v>
      </c>
      <c r="D71" s="90">
        <v>0</v>
      </c>
      <c r="E71" s="90">
        <v>540</v>
      </c>
    </row>
    <row r="72" spans="2:5" x14ac:dyDescent="0.3">
      <c r="B72" s="91" t="s">
        <v>72</v>
      </c>
      <c r="C72">
        <v>10</v>
      </c>
      <c r="D72" s="90">
        <v>0</v>
      </c>
      <c r="E72" s="90">
        <v>309</v>
      </c>
    </row>
    <row r="73" spans="2:5" x14ac:dyDescent="0.3">
      <c r="B73" s="91" t="s">
        <v>74</v>
      </c>
      <c r="C73">
        <v>40</v>
      </c>
      <c r="D73" s="90">
        <v>0</v>
      </c>
      <c r="E73" s="90">
        <v>110</v>
      </c>
    </row>
    <row r="74" spans="2:5" x14ac:dyDescent="0.3">
      <c r="B74" s="92" t="s">
        <v>156</v>
      </c>
      <c r="C74">
        <v>1797</v>
      </c>
      <c r="D74" s="90">
        <v>300</v>
      </c>
      <c r="E74" s="90">
        <v>33496.203999999998</v>
      </c>
    </row>
    <row r="75" spans="2:5" x14ac:dyDescent="0.3">
      <c r="B75" s="91" t="s">
        <v>92</v>
      </c>
      <c r="C75">
        <v>101</v>
      </c>
      <c r="D75" s="90">
        <v>0</v>
      </c>
      <c r="E75" s="90">
        <v>959.904</v>
      </c>
    </row>
    <row r="76" spans="2:5" x14ac:dyDescent="0.3">
      <c r="B76" s="91" t="s">
        <v>86</v>
      </c>
      <c r="C76">
        <v>330</v>
      </c>
      <c r="D76" s="90">
        <v>0</v>
      </c>
      <c r="E76" s="90">
        <v>1798.5</v>
      </c>
    </row>
    <row r="77" spans="2:5" x14ac:dyDescent="0.3">
      <c r="B77" s="91" t="s">
        <v>101</v>
      </c>
      <c r="C77">
        <v>320</v>
      </c>
      <c r="D77" s="90">
        <v>0</v>
      </c>
      <c r="E77" s="90">
        <v>848</v>
      </c>
    </row>
    <row r="78" spans="2:5" x14ac:dyDescent="0.3">
      <c r="B78" s="91" t="s">
        <v>72</v>
      </c>
      <c r="C78">
        <v>234</v>
      </c>
      <c r="D78" s="90">
        <v>150</v>
      </c>
      <c r="E78" s="90">
        <v>7380.5999999999995</v>
      </c>
    </row>
    <row r="79" spans="2:5" x14ac:dyDescent="0.3">
      <c r="B79" s="91" t="s">
        <v>78</v>
      </c>
      <c r="C79">
        <v>240</v>
      </c>
      <c r="D79" s="90">
        <v>0</v>
      </c>
      <c r="E79" s="90">
        <v>1272</v>
      </c>
    </row>
    <row r="80" spans="2:5" x14ac:dyDescent="0.3">
      <c r="B80" s="91" t="s">
        <v>100</v>
      </c>
      <c r="C80">
        <v>462</v>
      </c>
      <c r="D80" s="90">
        <v>0</v>
      </c>
      <c r="E80" s="90">
        <v>14707.2</v>
      </c>
    </row>
    <row r="81" spans="2:5" x14ac:dyDescent="0.3">
      <c r="B81" s="91" t="s">
        <v>104</v>
      </c>
      <c r="C81">
        <v>110</v>
      </c>
      <c r="D81" s="90">
        <v>150</v>
      </c>
      <c r="E81" s="90">
        <v>6530</v>
      </c>
    </row>
    <row r="82" spans="2:5" x14ac:dyDescent="0.3">
      <c r="B82" s="92" t="s">
        <v>170</v>
      </c>
      <c r="C82">
        <v>5030</v>
      </c>
      <c r="D82" s="90">
        <v>910</v>
      </c>
      <c r="E82" s="90">
        <v>50955.31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C41FB-7C8A-438B-8FFE-684119ADAC54}">
  <sheetPr codeName="Planilha12"/>
  <dimension ref="B2:N34"/>
  <sheetViews>
    <sheetView showGridLines="0" workbookViewId="0">
      <selection activeCell="K17" sqref="K17"/>
    </sheetView>
  </sheetViews>
  <sheetFormatPr defaultRowHeight="14.4" x14ac:dyDescent="0.3"/>
  <cols>
    <col min="1" max="1" width="20.6640625" customWidth="1"/>
    <col min="2" max="2" width="0.44140625" customWidth="1"/>
    <col min="3" max="3" width="14.33203125" customWidth="1"/>
    <col min="4" max="4" width="13.6640625" customWidth="1"/>
    <col min="5" max="5" width="15.109375" customWidth="1"/>
    <col min="6" max="6" width="12" customWidth="1"/>
    <col min="7" max="7" width="14.109375" customWidth="1"/>
    <col min="8" max="8" width="16.33203125" customWidth="1"/>
    <col min="9" max="9" width="14.6640625" customWidth="1"/>
    <col min="10" max="10" width="11.33203125" customWidth="1"/>
    <col min="11" max="11" width="11.6640625" customWidth="1"/>
    <col min="12" max="12" width="17.33203125" customWidth="1"/>
    <col min="13" max="14" width="21.33203125" bestFit="1" customWidth="1"/>
  </cols>
  <sheetData>
    <row r="2" spans="2:14" s="26" customFormat="1" ht="28.2" customHeight="1" x14ac:dyDescent="0.4">
      <c r="B2" s="24" t="s">
        <v>177</v>
      </c>
      <c r="C2" s="25"/>
      <c r="D2" s="25"/>
      <c r="E2" s="25"/>
      <c r="F2" s="25"/>
    </row>
    <row r="3" spans="2:14" ht="32.4" customHeight="1" x14ac:dyDescent="0.3"/>
    <row r="4" spans="2:14" x14ac:dyDescent="0.3">
      <c r="C4" t="s">
        <v>158</v>
      </c>
      <c r="D4" t="s">
        <v>23</v>
      </c>
      <c r="E4" t="s">
        <v>117</v>
      </c>
      <c r="F4" t="s">
        <v>63</v>
      </c>
      <c r="G4" t="s">
        <v>64</v>
      </c>
      <c r="H4" t="s">
        <v>65</v>
      </c>
      <c r="I4" t="s">
        <v>159</v>
      </c>
      <c r="J4" t="s">
        <v>66</v>
      </c>
      <c r="K4" t="s">
        <v>160</v>
      </c>
      <c r="L4" t="s">
        <v>161</v>
      </c>
      <c r="M4" t="s">
        <v>162</v>
      </c>
      <c r="N4" t="s">
        <v>163</v>
      </c>
    </row>
    <row r="5" spans="2:14" x14ac:dyDescent="0.3">
      <c r="C5">
        <v>7</v>
      </c>
      <c r="D5" s="6">
        <v>45900</v>
      </c>
      <c r="E5" t="s">
        <v>92</v>
      </c>
      <c r="F5" t="str">
        <f>IFERROR(VLOOKUP(Semana5[[#This Row],[Produto]],'Cálculos e Anotações'!$K$5:$N$34,4,0),"")</f>
        <v>Kg</v>
      </c>
      <c r="G5">
        <v>180</v>
      </c>
      <c r="H5" s="4">
        <f>IFERROR(VLOOKUP(Semana5[[#This Row],[Produto]],'Cálculos e Anotações'!$K$5:$N$34,3,0),0)</f>
        <v>9.9</v>
      </c>
      <c r="I5" s="4">
        <f>Semana5[[#This Row],[Quantidade]]*Semana5[[#This Row],[Preço Unitário]]</f>
        <v>1782</v>
      </c>
      <c r="J5" s="5">
        <v>0.04</v>
      </c>
      <c r="K5" t="s">
        <v>154</v>
      </c>
      <c r="L5" s="4">
        <f>IFERROR(IF(Semana5[[#This Row],[ID da Venda]]=C6,0,VLOOKUP(Semana5[[#This Row],[Entrega]],'Cálculos e Anotações'!$C$37:$D$41,2,FALSE)),0)</f>
        <v>0</v>
      </c>
      <c r="M5" s="4">
        <f>Semana5[[#This Row],[Subtotal]]*(1-Semana5[[#This Row],[Desconto]])+Semana5[[#This Row],[Taxa de Entrega]]</f>
        <v>1710.72</v>
      </c>
      <c r="N5" s="4" t="str">
        <f>IF(Semana5[[#This Row],[ID da Venda]]=C6,"",SUMIF(Semana5[ID da Venda],Semana5[[#This Row],[ID da Venda]],Semana5[Total]))</f>
        <v/>
      </c>
    </row>
    <row r="6" spans="2:14" x14ac:dyDescent="0.3">
      <c r="C6">
        <v>7</v>
      </c>
      <c r="D6" s="6">
        <v>45900</v>
      </c>
      <c r="E6" t="s">
        <v>96</v>
      </c>
      <c r="F6" t="str">
        <f>IFERROR(VLOOKUP(Semana5[[#This Row],[Produto]],'Cálculos e Anotações'!$K$5:$N$34,4,0),"")</f>
        <v>Unidade</v>
      </c>
      <c r="G6">
        <v>120</v>
      </c>
      <c r="H6" s="4">
        <f>IFERROR(VLOOKUP(Semana5[[#This Row],[Produto]],'Cálculos e Anotações'!$K$5:$N$34,3,0),0)</f>
        <v>3.15</v>
      </c>
      <c r="I6" s="4">
        <f>Semana5[[#This Row],[Quantidade]]*Semana5[[#This Row],[Preço Unitário]]</f>
        <v>378</v>
      </c>
      <c r="J6" s="5"/>
      <c r="K6" t="s">
        <v>154</v>
      </c>
      <c r="L6" s="4">
        <f>IFERROR(IF(Semana5[[#This Row],[ID da Venda]]=C7,0,VLOOKUP(Semana5[[#This Row],[Entrega]],'Cálculos e Anotações'!$C$37:$D$41,2,FALSE)),0)</f>
        <v>0</v>
      </c>
      <c r="M6" s="4">
        <f>Semana5[[#This Row],[Subtotal]]*(1-Semana5[[#This Row],[Desconto]])+Semana5[[#This Row],[Taxa de Entrega]]</f>
        <v>378</v>
      </c>
      <c r="N6" s="4" t="str">
        <f>IF(Semana5[[#This Row],[ID da Venda]]=C7,"",SUMIF(Semana5[ID da Venda],Semana5[[#This Row],[ID da Venda]],Semana5[Total]))</f>
        <v/>
      </c>
    </row>
    <row r="7" spans="2:14" x14ac:dyDescent="0.3">
      <c r="C7">
        <v>7</v>
      </c>
      <c r="D7" s="6">
        <v>45900</v>
      </c>
      <c r="E7" t="s">
        <v>74</v>
      </c>
      <c r="F7" t="str">
        <f>IFERROR(VLOOKUP(Semana5[[#This Row],[Produto]],'Cálculos e Anotações'!$K$5:$N$34,4,0),"")</f>
        <v>Lata</v>
      </c>
      <c r="G7">
        <v>560</v>
      </c>
      <c r="H7" s="4">
        <f>IFERROR(VLOOKUP(Semana5[[#This Row],[Produto]],'Cálculos e Anotações'!$K$5:$N$34,3,0),0)</f>
        <v>2.75</v>
      </c>
      <c r="I7" s="4">
        <f>Semana5[[#This Row],[Quantidade]]*Semana5[[#This Row],[Preço Unitário]]</f>
        <v>1540</v>
      </c>
      <c r="J7" s="5"/>
      <c r="K7" t="s">
        <v>154</v>
      </c>
      <c r="L7" s="4">
        <f>IFERROR(IF(Semana5[[#This Row],[ID da Venda]]=C8,0,VLOOKUP(Semana5[[#This Row],[Entrega]],'Cálculos e Anotações'!$C$37:$D$41,2,FALSE)),0)</f>
        <v>0</v>
      </c>
      <c r="M7" s="4">
        <f>Semana5[[#This Row],[Subtotal]]*(1-Semana5[[#This Row],[Desconto]])+Semana5[[#This Row],[Taxa de Entrega]]</f>
        <v>1540</v>
      </c>
      <c r="N7" s="4" t="str">
        <f>IF(Semana5[[#This Row],[ID da Venda]]=C8,"",SUMIF(Semana5[ID da Venda],Semana5[[#This Row],[ID da Venda]],Semana5[Total]))</f>
        <v/>
      </c>
    </row>
    <row r="8" spans="2:14" x14ac:dyDescent="0.3">
      <c r="C8">
        <v>7</v>
      </c>
      <c r="D8" s="6">
        <v>45900</v>
      </c>
      <c r="E8" t="s">
        <v>102</v>
      </c>
      <c r="F8" t="str">
        <f>IFERROR(VLOOKUP(Semana5[[#This Row],[Produto]],'Cálculos e Anotações'!$K$5:$N$34,4,0),"")</f>
        <v>Litro</v>
      </c>
      <c r="G8">
        <v>230</v>
      </c>
      <c r="H8" s="4">
        <f>IFERROR(VLOOKUP(Semana5[[#This Row],[Produto]],'Cálculos e Anotações'!$K$5:$N$34,3,0),0)</f>
        <v>3.8</v>
      </c>
      <c r="I8" s="4">
        <f>Semana5[[#This Row],[Quantidade]]*Semana5[[#This Row],[Preço Unitário]]</f>
        <v>874</v>
      </c>
      <c r="J8" s="5"/>
      <c r="K8" t="s">
        <v>154</v>
      </c>
      <c r="L8" s="4">
        <f>IFERROR(IF(Semana5[[#This Row],[ID da Venda]]=C9,0,VLOOKUP(Semana5[[#This Row],[Entrega]],'Cálculos e Anotações'!$C$37:$D$41,2,FALSE)),0)</f>
        <v>190</v>
      </c>
      <c r="M8" s="4">
        <f>Semana5[[#This Row],[Subtotal]]*(1-Semana5[[#This Row],[Desconto]])+Semana5[[#This Row],[Taxa de Entrega]]</f>
        <v>1064</v>
      </c>
      <c r="N8" s="4">
        <f>IF(Semana5[[#This Row],[ID da Venda]]=C9,"",SUMIF(Semana5[ID da Venda],Semana5[[#This Row],[ID da Venda]],Semana5[Total]))</f>
        <v>4692.72</v>
      </c>
    </row>
    <row r="9" spans="2:14" x14ac:dyDescent="0.3">
      <c r="C9">
        <v>6</v>
      </c>
      <c r="D9" s="6">
        <v>45899</v>
      </c>
      <c r="E9" t="s">
        <v>74</v>
      </c>
      <c r="F9" t="str">
        <f>IFERROR(VLOOKUP(Semana5[[#This Row],[Produto]],'Cálculos e Anotações'!$K$5:$N$34,4,0),"")</f>
        <v>Lata</v>
      </c>
      <c r="G9">
        <v>540</v>
      </c>
      <c r="H9" s="4">
        <f>IFERROR(VLOOKUP(Semana5[[#This Row],[Produto]],'Cálculos e Anotações'!$K$5:$N$34,3,0),0)</f>
        <v>2.75</v>
      </c>
      <c r="I9" s="4">
        <f>Semana5[[#This Row],[Quantidade]]*Semana5[[#This Row],[Preço Unitário]]</f>
        <v>1485</v>
      </c>
      <c r="J9" s="5">
        <v>7.0000000000000007E-2</v>
      </c>
      <c r="K9" t="s">
        <v>156</v>
      </c>
      <c r="L9" s="4">
        <f>IFERROR(IF(Semana5[[#This Row],[ID da Venda]]=C10,0,VLOOKUP(Semana5[[#This Row],[Entrega]],'Cálculos e Anotações'!$C$37:$D$41,2,FALSE)),0)</f>
        <v>0</v>
      </c>
      <c r="M9" s="4">
        <f>Semana5[[#This Row],[Subtotal]]*(1-Semana5[[#This Row],[Desconto]])+Semana5[[#This Row],[Taxa de Entrega]]</f>
        <v>1381.05</v>
      </c>
      <c r="N9" s="4" t="str">
        <f>IF(Semana5[[#This Row],[ID da Venda]]=C10,"",SUMIF(Semana5[ID da Venda],Semana5[[#This Row],[ID da Venda]],Semana5[Total]))</f>
        <v/>
      </c>
    </row>
    <row r="10" spans="2:14" x14ac:dyDescent="0.3">
      <c r="C10">
        <v>6</v>
      </c>
      <c r="D10" s="6">
        <v>45899</v>
      </c>
      <c r="E10" t="s">
        <v>89</v>
      </c>
      <c r="F10" t="str">
        <f>IFERROR(VLOOKUP(Semana5[[#This Row],[Produto]],'Cálculos e Anotações'!$K$5:$N$34,4,0),"")</f>
        <v>Unidade</v>
      </c>
      <c r="G10">
        <v>200</v>
      </c>
      <c r="H10" s="4">
        <f>IFERROR(VLOOKUP(Semana5[[#This Row],[Produto]],'Cálculos e Anotações'!$K$5:$N$34,3,0),0)</f>
        <v>2.8</v>
      </c>
      <c r="I10" s="4">
        <f>Semana5[[#This Row],[Quantidade]]*Semana5[[#This Row],[Preço Unitário]]</f>
        <v>560</v>
      </c>
      <c r="J10" s="5"/>
      <c r="K10" t="s">
        <v>156</v>
      </c>
      <c r="L10" s="4">
        <f>IFERROR(IF(Semana5[[#This Row],[ID da Venda]]=C11,0,VLOOKUP(Semana5[[#This Row],[Entrega]],'Cálculos e Anotações'!$C$37:$D$41,2,FALSE)),0)</f>
        <v>150</v>
      </c>
      <c r="M10" s="4">
        <f>Semana5[[#This Row],[Subtotal]]*(1-Semana5[[#This Row],[Desconto]])+Semana5[[#This Row],[Taxa de Entrega]]</f>
        <v>710</v>
      </c>
      <c r="N10" s="4">
        <f>IF(Semana5[[#This Row],[ID da Venda]]=C11,"",SUMIF(Semana5[ID da Venda],Semana5[[#This Row],[ID da Venda]],Semana5[Total]))</f>
        <v>2091.0500000000002</v>
      </c>
    </row>
    <row r="11" spans="2:14" x14ac:dyDescent="0.3">
      <c r="C11">
        <v>5</v>
      </c>
      <c r="D11" s="6">
        <v>45898</v>
      </c>
      <c r="E11" t="s">
        <v>82</v>
      </c>
      <c r="F11" t="str">
        <f>IFERROR(VLOOKUP(Semana5[[#This Row],[Produto]],'Cálculos e Anotações'!$K$5:$N$34,4,0),"")</f>
        <v>Pacote</v>
      </c>
      <c r="G11">
        <v>140</v>
      </c>
      <c r="H11" s="4">
        <f>IFERROR(VLOOKUP(Semana5[[#This Row],[Produto]],'Cálculos e Anotações'!$K$5:$N$34,3,0),0)</f>
        <v>1.35</v>
      </c>
      <c r="I11" s="4">
        <f>Semana5[[#This Row],[Quantidade]]*Semana5[[#This Row],[Preço Unitário]]</f>
        <v>189</v>
      </c>
      <c r="J11" s="5"/>
      <c r="K11" t="s">
        <v>155</v>
      </c>
      <c r="L11" s="4">
        <f>IFERROR(IF(Semana5[[#This Row],[ID da Venda]]=C12,0,VLOOKUP(Semana5[[#This Row],[Entrega]],'Cálculos e Anotações'!$C$37:$D$41,2,FALSE)),0)</f>
        <v>0</v>
      </c>
      <c r="M11" s="4">
        <f>Semana5[[#This Row],[Subtotal]]*(1-Semana5[[#This Row],[Desconto]])+Semana5[[#This Row],[Taxa de Entrega]]</f>
        <v>189</v>
      </c>
      <c r="N11" s="4" t="str">
        <f>IF(Semana5[[#This Row],[ID da Venda]]=C12,"",SUMIF(Semana5[ID da Venda],Semana5[[#This Row],[ID da Venda]],Semana5[Total]))</f>
        <v/>
      </c>
    </row>
    <row r="12" spans="2:14" x14ac:dyDescent="0.3">
      <c r="C12">
        <v>5</v>
      </c>
      <c r="D12" s="6">
        <v>45898</v>
      </c>
      <c r="E12" t="s">
        <v>88</v>
      </c>
      <c r="F12" t="str">
        <f>IFERROR(VLOOKUP(Semana5[[#This Row],[Produto]],'Cálculos e Anotações'!$K$5:$N$34,4,0),"")</f>
        <v>Maço</v>
      </c>
      <c r="G12">
        <v>210</v>
      </c>
      <c r="H12" s="4">
        <f>IFERROR(VLOOKUP(Semana5[[#This Row],[Produto]],'Cálculos e Anotações'!$K$5:$N$34,3,0),0)</f>
        <v>7.1</v>
      </c>
      <c r="I12" s="4">
        <f>Semana5[[#This Row],[Quantidade]]*Semana5[[#This Row],[Preço Unitário]]</f>
        <v>1491</v>
      </c>
      <c r="J12" s="5"/>
      <c r="K12" t="s">
        <v>155</v>
      </c>
      <c r="L12" s="4">
        <f>IFERROR(IF(Semana5[[#This Row],[ID da Venda]]=C13,0,VLOOKUP(Semana5[[#This Row],[Entrega]],'Cálculos e Anotações'!$C$37:$D$41,2,FALSE)),0)</f>
        <v>0</v>
      </c>
      <c r="M12" s="4">
        <f>Semana5[[#This Row],[Subtotal]]*(1-Semana5[[#This Row],[Desconto]])+Semana5[[#This Row],[Taxa de Entrega]]</f>
        <v>1491</v>
      </c>
      <c r="N12" s="4" t="str">
        <f>IF(Semana5[[#This Row],[ID da Venda]]=C13,"",SUMIF(Semana5[ID da Venda],Semana5[[#This Row],[ID da Venda]],Semana5[Total]))</f>
        <v/>
      </c>
    </row>
    <row r="13" spans="2:14" x14ac:dyDescent="0.3">
      <c r="C13">
        <v>5</v>
      </c>
      <c r="D13" s="6">
        <v>45898</v>
      </c>
      <c r="E13" t="s">
        <v>70</v>
      </c>
      <c r="F13" t="str">
        <f>IFERROR(VLOOKUP(Semana5[[#This Row],[Produto]],'Cálculos e Anotações'!$K$5:$N$34,4,0),"")</f>
        <v>Kg</v>
      </c>
      <c r="G13">
        <v>220</v>
      </c>
      <c r="H13" s="4">
        <f>IFERROR(VLOOKUP(Semana5[[#This Row],[Produto]],'Cálculos e Anotações'!$K$5:$N$34,3,0),0)</f>
        <v>10.5</v>
      </c>
      <c r="I13" s="4">
        <f>Semana5[[#This Row],[Quantidade]]*Semana5[[#This Row],[Preço Unitário]]</f>
        <v>2310</v>
      </c>
      <c r="J13" s="5">
        <v>0.08</v>
      </c>
      <c r="K13" t="s">
        <v>155</v>
      </c>
      <c r="L13" s="4">
        <f>IFERROR(IF(Semana5[[#This Row],[ID da Venda]]=C14,0,VLOOKUP(Semana5[[#This Row],[Entrega]],'Cálculos e Anotações'!$C$37:$D$41,2,FALSE)),0)</f>
        <v>0</v>
      </c>
      <c r="M13" s="4">
        <f>Semana5[[#This Row],[Subtotal]]*(1-Semana5[[#This Row],[Desconto]])+Semana5[[#This Row],[Taxa de Entrega]]</f>
        <v>2125.2000000000003</v>
      </c>
      <c r="N13" s="4" t="str">
        <f>IF(Semana5[[#This Row],[ID da Venda]]=C14,"",SUMIF(Semana5[ID da Venda],Semana5[[#This Row],[ID da Venda]],Semana5[Total]))</f>
        <v/>
      </c>
    </row>
    <row r="14" spans="2:14" x14ac:dyDescent="0.3">
      <c r="C14">
        <v>5</v>
      </c>
      <c r="D14" s="6">
        <v>45898</v>
      </c>
      <c r="E14" t="s">
        <v>101</v>
      </c>
      <c r="F14" t="str">
        <f>IFERROR(VLOOKUP(Semana5[[#This Row],[Produto]],'Cálculos e Anotações'!$K$5:$N$34,4,0),"")</f>
        <v>Litro</v>
      </c>
      <c r="G14">
        <v>130</v>
      </c>
      <c r="H14" s="4">
        <f>IFERROR(VLOOKUP(Semana5[[#This Row],[Produto]],'Cálculos e Anotações'!$K$5:$N$34,3,0),0)</f>
        <v>2.65</v>
      </c>
      <c r="I14" s="4">
        <f>Semana5[[#This Row],[Quantidade]]*Semana5[[#This Row],[Preço Unitário]]</f>
        <v>344.5</v>
      </c>
      <c r="J14" s="5"/>
      <c r="K14" t="s">
        <v>155</v>
      </c>
      <c r="L14" s="4">
        <f>IFERROR(IF(Semana5[[#This Row],[ID da Venda]]=C15,0,VLOOKUP(Semana5[[#This Row],[Entrega]],'Cálculos e Anotações'!$C$37:$D$41,2,FALSE)),0)</f>
        <v>210</v>
      </c>
      <c r="M14" s="4">
        <f>Semana5[[#This Row],[Subtotal]]*(1-Semana5[[#This Row],[Desconto]])+Semana5[[#This Row],[Taxa de Entrega]]</f>
        <v>554.5</v>
      </c>
      <c r="N14" s="4">
        <f>IF(Semana5[[#This Row],[ID da Venda]]=C15,"",SUMIF(Semana5[ID da Venda],Semana5[[#This Row],[ID da Venda]],Semana5[Total]))</f>
        <v>4359.7000000000007</v>
      </c>
    </row>
    <row r="15" spans="2:14" x14ac:dyDescent="0.3">
      <c r="C15">
        <v>4</v>
      </c>
      <c r="D15" s="6">
        <v>45897</v>
      </c>
      <c r="E15" t="s">
        <v>96</v>
      </c>
      <c r="F15" t="str">
        <f>IFERROR(VLOOKUP(Semana5[[#This Row],[Produto]],'Cálculos e Anotações'!$K$5:$N$34,4,0),"")</f>
        <v>Unidade</v>
      </c>
      <c r="G15">
        <v>30</v>
      </c>
      <c r="H15" s="4">
        <f>IFERROR(VLOOKUP(Semana5[[#This Row],[Produto]],'Cálculos e Anotações'!$K$5:$N$34,3,0),0)</f>
        <v>3.15</v>
      </c>
      <c r="I15" s="4">
        <f>Semana5[[#This Row],[Quantidade]]*Semana5[[#This Row],[Preço Unitário]]</f>
        <v>94.5</v>
      </c>
      <c r="J15" s="5"/>
      <c r="K15" t="s">
        <v>152</v>
      </c>
      <c r="L15" s="4">
        <f>IFERROR(IF(Semana5[[#This Row],[ID da Venda]]=C16,0,VLOOKUP(Semana5[[#This Row],[Entrega]],'Cálculos e Anotações'!$C$37:$D$41,2,FALSE)),0)</f>
        <v>0</v>
      </c>
      <c r="M15" s="4">
        <f>Semana5[[#This Row],[Subtotal]]*(1-Semana5[[#This Row],[Desconto]])+Semana5[[#This Row],[Taxa de Entrega]]</f>
        <v>94.5</v>
      </c>
      <c r="N15" s="4" t="str">
        <f>IF(Semana5[[#This Row],[ID da Venda]]=C16,"",SUMIF(Semana5[ID da Venda],Semana5[[#This Row],[ID da Venda]],Semana5[Total]))</f>
        <v/>
      </c>
    </row>
    <row r="16" spans="2:14" x14ac:dyDescent="0.3">
      <c r="C16">
        <v>4</v>
      </c>
      <c r="D16" s="6">
        <v>45897</v>
      </c>
      <c r="E16" t="s">
        <v>94</v>
      </c>
      <c r="F16" t="str">
        <f>IFERROR(VLOOKUP(Semana5[[#This Row],[Produto]],'Cálculos e Anotações'!$K$5:$N$34,4,0),"")</f>
        <v>Litro</v>
      </c>
      <c r="G16">
        <v>25</v>
      </c>
      <c r="H16" s="4">
        <f>IFERROR(VLOOKUP(Semana5[[#This Row],[Produto]],'Cálculos e Anotações'!$K$5:$N$34,3,0),0)</f>
        <v>4.3899999999999997</v>
      </c>
      <c r="I16" s="4">
        <f>Semana5[[#This Row],[Quantidade]]*Semana5[[#This Row],[Preço Unitário]]</f>
        <v>109.74999999999999</v>
      </c>
      <c r="J16" s="5"/>
      <c r="K16" t="s">
        <v>152</v>
      </c>
      <c r="L16" s="4">
        <f>IFERROR(IF(Semana5[[#This Row],[ID da Venda]]=C17,0,VLOOKUP(Semana5[[#This Row],[Entrega]],'Cálculos e Anotações'!$C$37:$D$41,2,FALSE)),0)</f>
        <v>0</v>
      </c>
      <c r="M16" s="4">
        <f>Semana5[[#This Row],[Subtotal]]*(1-Semana5[[#This Row],[Desconto]])+Semana5[[#This Row],[Taxa de Entrega]]</f>
        <v>109.74999999999999</v>
      </c>
      <c r="N16" s="4" t="str">
        <f>IF(Semana5[[#This Row],[ID da Venda]]=C17,"",SUMIF(Semana5[ID da Venda],Semana5[[#This Row],[ID da Venda]],Semana5[Total]))</f>
        <v/>
      </c>
    </row>
    <row r="17" spans="2:14" x14ac:dyDescent="0.3">
      <c r="C17">
        <v>4</v>
      </c>
      <c r="D17" s="6">
        <v>45897</v>
      </c>
      <c r="E17" t="s">
        <v>72</v>
      </c>
      <c r="F17" t="str">
        <f>IFERROR(VLOOKUP(Semana5[[#This Row],[Produto]],'Cálculos e Anotações'!$K$5:$N$34,4,0),"")</f>
        <v>Kg</v>
      </c>
      <c r="G17">
        <v>15</v>
      </c>
      <c r="H17" s="4">
        <f>IFERROR(VLOOKUP(Semana5[[#This Row],[Produto]],'Cálculos e Anotações'!$K$5:$N$34,3,0),0)</f>
        <v>30.9</v>
      </c>
      <c r="I17" s="4">
        <f>Semana5[[#This Row],[Quantidade]]*Semana5[[#This Row],[Preço Unitário]]</f>
        <v>463.5</v>
      </c>
      <c r="J17" s="5">
        <v>0.02</v>
      </c>
      <c r="K17" t="s">
        <v>152</v>
      </c>
      <c r="L17" s="4">
        <f>IFERROR(IF(Semana5[[#This Row],[ID da Venda]]=C18,0,VLOOKUP(Semana5[[#This Row],[Entrega]],'Cálculos e Anotações'!$C$37:$D$41,2,FALSE)),0)</f>
        <v>0</v>
      </c>
      <c r="M17" s="4">
        <f>Semana5[[#This Row],[Subtotal]]*(1-Semana5[[#This Row],[Desconto]])+Semana5[[#This Row],[Taxa de Entrega]]</f>
        <v>454.23</v>
      </c>
      <c r="N17" s="4">
        <f>IF(Semana5[[#This Row],[ID da Venda]]=C18,"",SUMIF(Semana5[ID da Venda],Semana5[[#This Row],[ID da Venda]],Semana5[Total]))</f>
        <v>658.48</v>
      </c>
    </row>
    <row r="18" spans="2:14" x14ac:dyDescent="0.3">
      <c r="C18">
        <v>3</v>
      </c>
      <c r="D18" s="6">
        <v>45896</v>
      </c>
      <c r="E18" t="s">
        <v>101</v>
      </c>
      <c r="F18" t="str">
        <f>IFERROR(VLOOKUP(Semana5[[#This Row],[Produto]],'Cálculos e Anotações'!$K$5:$N$34,4,0),"")</f>
        <v>Litro</v>
      </c>
      <c r="G18">
        <v>310</v>
      </c>
      <c r="H18" s="4">
        <f>IFERROR(VLOOKUP(Semana5[[#This Row],[Produto]],'Cálculos e Anotações'!$K$5:$N$34,3,0),0)</f>
        <v>2.65</v>
      </c>
      <c r="I18" s="4">
        <f>Semana5[[#This Row],[Quantidade]]*Semana5[[#This Row],[Preço Unitário]]</f>
        <v>821.5</v>
      </c>
      <c r="J18" s="5"/>
      <c r="K18" t="s">
        <v>153</v>
      </c>
      <c r="L18" s="4">
        <f>IFERROR(IF(Semana5[[#This Row],[ID da Venda]]=C19,0,VLOOKUP(Semana5[[#This Row],[Entrega]],'Cálculos e Anotações'!$C$37:$D$41,2,FALSE)),0)</f>
        <v>0</v>
      </c>
      <c r="M18" s="4">
        <f>Semana5[[#This Row],[Subtotal]]*(1-Semana5[[#This Row],[Desconto]])+Semana5[[#This Row],[Taxa de Entrega]]</f>
        <v>821.5</v>
      </c>
      <c r="N18" s="4" t="str">
        <f>IF(Semana5[[#This Row],[ID da Venda]]=C19,"",SUMIF(Semana5[ID da Venda],Semana5[[#This Row],[ID da Venda]],Semana5[Total]))</f>
        <v/>
      </c>
    </row>
    <row r="19" spans="2:14" x14ac:dyDescent="0.3">
      <c r="C19">
        <v>3</v>
      </c>
      <c r="D19" s="6">
        <v>45896</v>
      </c>
      <c r="E19" t="s">
        <v>78</v>
      </c>
      <c r="F19" t="str">
        <f>IFERROR(VLOOKUP(Semana5[[#This Row],[Produto]],'Cálculos e Anotações'!$K$5:$N$34,4,0),"")</f>
        <v>Kg</v>
      </c>
      <c r="G19">
        <v>130</v>
      </c>
      <c r="H19" s="4">
        <f>IFERROR(VLOOKUP(Semana5[[#This Row],[Produto]],'Cálculos e Anotações'!$K$5:$N$34,3,0),0)</f>
        <v>5.3</v>
      </c>
      <c r="I19" s="4">
        <f>Semana5[[#This Row],[Quantidade]]*Semana5[[#This Row],[Preço Unitário]]</f>
        <v>689</v>
      </c>
      <c r="J19" s="5"/>
      <c r="K19" t="s">
        <v>153</v>
      </c>
      <c r="L19" s="4">
        <f>IFERROR(IF(Semana5[[#This Row],[ID da Venda]]=C20,0,VLOOKUP(Semana5[[#This Row],[Entrega]],'Cálculos e Anotações'!$C$37:$D$41,2,FALSE)),0)</f>
        <v>0</v>
      </c>
      <c r="M19" s="4">
        <f>Semana5[[#This Row],[Subtotal]]*(1-Semana5[[#This Row],[Desconto]])+Semana5[[#This Row],[Taxa de Entrega]]</f>
        <v>689</v>
      </c>
      <c r="N19" s="4" t="str">
        <f>IF(Semana5[[#This Row],[ID da Venda]]=C20,"",SUMIF(Semana5[ID da Venda],Semana5[[#This Row],[ID da Venda]],Semana5[Total]))</f>
        <v/>
      </c>
    </row>
    <row r="20" spans="2:14" x14ac:dyDescent="0.3">
      <c r="C20">
        <v>3</v>
      </c>
      <c r="D20" s="6">
        <v>45896</v>
      </c>
      <c r="E20" t="s">
        <v>102</v>
      </c>
      <c r="F20" t="str">
        <f>IFERROR(VLOOKUP(Semana5[[#This Row],[Produto]],'Cálculos e Anotações'!$K$5:$N$34,4,0),"")</f>
        <v>Litro</v>
      </c>
      <c r="G20">
        <v>320</v>
      </c>
      <c r="H20" s="4">
        <f>IFERROR(VLOOKUP(Semana5[[#This Row],[Produto]],'Cálculos e Anotações'!$K$5:$N$34,3,0),0)</f>
        <v>3.8</v>
      </c>
      <c r="I20" s="4">
        <f>Semana5[[#This Row],[Quantidade]]*Semana5[[#This Row],[Preço Unitário]]</f>
        <v>1216</v>
      </c>
      <c r="J20" s="5"/>
      <c r="K20" t="s">
        <v>153</v>
      </c>
      <c r="L20" s="4">
        <f>IFERROR(IF(Semana5[[#This Row],[ID da Venda]]=C21,0,VLOOKUP(Semana5[[#This Row],[Entrega]],'Cálculos e Anotações'!$C$37:$D$41,2,FALSE)),0)</f>
        <v>0</v>
      </c>
      <c r="M20" s="4">
        <f>Semana5[[#This Row],[Subtotal]]*(1-Semana5[[#This Row],[Desconto]])+Semana5[[#This Row],[Taxa de Entrega]]</f>
        <v>1216</v>
      </c>
      <c r="N20" s="4" t="str">
        <f>IF(Semana5[[#This Row],[ID da Venda]]=C21,"",SUMIF(Semana5[ID da Venda],Semana5[[#This Row],[ID da Venda]],Semana5[Total]))</f>
        <v/>
      </c>
    </row>
    <row r="21" spans="2:14" x14ac:dyDescent="0.3">
      <c r="C21">
        <v>3</v>
      </c>
      <c r="D21" s="6">
        <v>45896</v>
      </c>
      <c r="E21" t="s">
        <v>88</v>
      </c>
      <c r="F21" t="str">
        <f>IFERROR(VLOOKUP(Semana5[[#This Row],[Produto]],'Cálculos e Anotações'!$K$5:$N$34,4,0),"")</f>
        <v>Maço</v>
      </c>
      <c r="G21">
        <v>110</v>
      </c>
      <c r="H21" s="4">
        <f>IFERROR(VLOOKUP(Semana5[[#This Row],[Produto]],'Cálculos e Anotações'!$K$5:$N$34,3,0),0)</f>
        <v>7.1</v>
      </c>
      <c r="I21" s="4">
        <f>Semana5[[#This Row],[Quantidade]]*Semana5[[#This Row],[Preço Unitário]]</f>
        <v>781</v>
      </c>
      <c r="J21" s="5">
        <v>0.05</v>
      </c>
      <c r="K21" t="s">
        <v>153</v>
      </c>
      <c r="L21" s="4">
        <f>IFERROR(IF(Semana5[[#This Row],[ID da Venda]]=C22,0,VLOOKUP(Semana5[[#This Row],[Entrega]],'Cálculos e Anotações'!$C$37:$D$41,2,FALSE)),0)</f>
        <v>100</v>
      </c>
      <c r="M21" s="4">
        <f>Semana5[[#This Row],[Subtotal]]*(1-Semana5[[#This Row],[Desconto]])+Semana5[[#This Row],[Taxa de Entrega]]</f>
        <v>841.94999999999993</v>
      </c>
      <c r="N21" s="4">
        <f>IF(Semana5[[#This Row],[ID da Venda]]=C22,"",SUMIF(Semana5[ID da Venda],Semana5[[#This Row],[ID da Venda]],Semana5[Total]))</f>
        <v>3568.45</v>
      </c>
    </row>
    <row r="22" spans="2:14" x14ac:dyDescent="0.3">
      <c r="C22">
        <v>2</v>
      </c>
      <c r="D22" s="6">
        <v>45895</v>
      </c>
      <c r="E22" t="s">
        <v>90</v>
      </c>
      <c r="F22" t="str">
        <f>IFERROR(VLOOKUP(Semana5[[#This Row],[Produto]],'Cálculos e Anotações'!$K$5:$N$34,4,0),"")</f>
        <v>Kg</v>
      </c>
      <c r="G22">
        <v>200</v>
      </c>
      <c r="H22" s="4">
        <f>IFERROR(VLOOKUP(Semana5[[#This Row],[Produto]],'Cálculos e Anotações'!$K$5:$N$34,3,0),0)</f>
        <v>6.8</v>
      </c>
      <c r="I22" s="4">
        <f>Semana5[[#This Row],[Quantidade]]*Semana5[[#This Row],[Preço Unitário]]</f>
        <v>1360</v>
      </c>
      <c r="J22" s="5"/>
      <c r="K22" t="s">
        <v>156</v>
      </c>
      <c r="L22" s="4">
        <f>IFERROR(IF(Semana5[[#This Row],[ID da Venda]]=C23,0,VLOOKUP(Semana5[[#This Row],[Entrega]],'Cálculos e Anotações'!$C$37:$D$41,2,FALSE)),0)</f>
        <v>0</v>
      </c>
      <c r="M22" s="4">
        <f>Semana5[[#This Row],[Subtotal]]*(1-Semana5[[#This Row],[Desconto]])+Semana5[[#This Row],[Taxa de Entrega]]</f>
        <v>1360</v>
      </c>
      <c r="N22" s="4" t="str">
        <f>IF(Semana5[[#This Row],[ID da Venda]]=C23,"",SUMIF(Semana5[ID da Venda],Semana5[[#This Row],[ID da Venda]],Semana5[Total]))</f>
        <v/>
      </c>
    </row>
    <row r="23" spans="2:14" x14ac:dyDescent="0.3">
      <c r="C23">
        <v>2</v>
      </c>
      <c r="D23" s="6">
        <v>45895</v>
      </c>
      <c r="E23" t="s">
        <v>94</v>
      </c>
      <c r="F23" t="str">
        <f>IFERROR(VLOOKUP(Semana5[[#This Row],[Produto]],'Cálculos e Anotações'!$K$5:$N$34,4,0),"")</f>
        <v>Litro</v>
      </c>
      <c r="G23">
        <v>130</v>
      </c>
      <c r="H23" s="4">
        <f>IFERROR(VLOOKUP(Semana5[[#This Row],[Produto]],'Cálculos e Anotações'!$K$5:$N$34,3,0),0)</f>
        <v>4.3899999999999997</v>
      </c>
      <c r="I23" s="4">
        <f>Semana5[[#This Row],[Quantidade]]*Semana5[[#This Row],[Preço Unitário]]</f>
        <v>570.69999999999993</v>
      </c>
      <c r="J23" s="5"/>
      <c r="K23" t="s">
        <v>156</v>
      </c>
      <c r="L23" s="4">
        <f>IFERROR(IF(Semana5[[#This Row],[ID da Venda]]=C24,0,VLOOKUP(Semana5[[#This Row],[Entrega]],'Cálculos e Anotações'!$C$37:$D$41,2,FALSE)),0)</f>
        <v>0</v>
      </c>
      <c r="M23" s="4">
        <f>Semana5[[#This Row],[Subtotal]]*(1-Semana5[[#This Row],[Desconto]])+Semana5[[#This Row],[Taxa de Entrega]]</f>
        <v>570.69999999999993</v>
      </c>
      <c r="N23" s="4" t="str">
        <f>IF(Semana5[[#This Row],[ID da Venda]]=C24,"",SUMIF(Semana5[ID da Venda],Semana5[[#This Row],[ID da Venda]],Semana5[Total]))</f>
        <v/>
      </c>
    </row>
    <row r="24" spans="2:14" x14ac:dyDescent="0.3">
      <c r="C24">
        <v>2</v>
      </c>
      <c r="D24" s="6">
        <v>45895</v>
      </c>
      <c r="E24" t="s">
        <v>80</v>
      </c>
      <c r="F24" t="str">
        <f>IFERROR(VLOOKUP(Semana5[[#This Row],[Produto]],'Cálculos e Anotações'!$K$5:$N$34,4,0),"")</f>
        <v>Pacote</v>
      </c>
      <c r="G24">
        <v>300</v>
      </c>
      <c r="H24" s="4">
        <f>IFERROR(VLOOKUP(Semana5[[#This Row],[Produto]],'Cálculos e Anotações'!$K$5:$N$34,3,0),0)</f>
        <v>2.15</v>
      </c>
      <c r="I24" s="4">
        <f>Semana5[[#This Row],[Quantidade]]*Semana5[[#This Row],[Preço Unitário]]</f>
        <v>645</v>
      </c>
      <c r="J24" s="5"/>
      <c r="K24" t="s">
        <v>156</v>
      </c>
      <c r="L24" s="4">
        <f>IFERROR(IF(Semana5[[#This Row],[ID da Venda]]=C25,0,VLOOKUP(Semana5[[#This Row],[Entrega]],'Cálculos e Anotações'!$C$37:$D$41,2,FALSE)),0)</f>
        <v>150</v>
      </c>
      <c r="M24" s="4">
        <f>Semana5[[#This Row],[Subtotal]]*(1-Semana5[[#This Row],[Desconto]])+Semana5[[#This Row],[Taxa de Entrega]]</f>
        <v>795</v>
      </c>
      <c r="N24" s="4">
        <f>IF(Semana5[[#This Row],[ID da Venda]]=C25,"",SUMIF(Semana5[ID da Venda],Semana5[[#This Row],[ID da Venda]],Semana5[Total]))</f>
        <v>2725.7</v>
      </c>
    </row>
    <row r="25" spans="2:14" x14ac:dyDescent="0.3">
      <c r="C25">
        <v>1</v>
      </c>
      <c r="D25" s="6">
        <v>45894</v>
      </c>
      <c r="E25" t="s">
        <v>72</v>
      </c>
      <c r="F25" t="str">
        <f>IFERROR(VLOOKUP(Semana5[[#This Row],[Produto]],'Cálculos e Anotações'!$K$5:$N$34,4,0),"")</f>
        <v>Kg</v>
      </c>
      <c r="G25">
        <v>230</v>
      </c>
      <c r="H25" s="4">
        <f>IFERROR(VLOOKUP(Semana5[[#This Row],[Produto]],'Cálculos e Anotações'!$K$5:$N$34,3,0),0)</f>
        <v>30.9</v>
      </c>
      <c r="I25" s="4">
        <f>Semana5[[#This Row],[Quantidade]]*Semana5[[#This Row],[Preço Unitário]]</f>
        <v>7107</v>
      </c>
      <c r="J25" s="5">
        <v>0.03</v>
      </c>
      <c r="K25" t="s">
        <v>155</v>
      </c>
      <c r="L25" s="4">
        <f>IFERROR(IF(Semana5[[#This Row],[ID da Venda]]=C26,0,VLOOKUP(Semana5[[#This Row],[Entrega]],'Cálculos e Anotações'!$C$37:$D$41,2,FALSE)),0)</f>
        <v>0</v>
      </c>
      <c r="M25" s="4">
        <f>Semana5[[#This Row],[Subtotal]]*(1-Semana5[[#This Row],[Desconto]])+Semana5[[#This Row],[Taxa de Entrega]]</f>
        <v>6893.79</v>
      </c>
      <c r="N25" s="4" t="str">
        <f>IF(Semana5[[#This Row],[ID da Venda]]=C26,"",SUMIF(Semana5[ID da Venda],Semana5[[#This Row],[ID da Venda]],Semana5[Total]))</f>
        <v/>
      </c>
    </row>
    <row r="26" spans="2:14" x14ac:dyDescent="0.3">
      <c r="C26">
        <v>1</v>
      </c>
      <c r="D26" s="6">
        <v>45894</v>
      </c>
      <c r="E26" t="s">
        <v>100</v>
      </c>
      <c r="F26" t="str">
        <f>IFERROR(VLOOKUP(Semana5[[#This Row],[Produto]],'Cálculos e Anotações'!$K$5:$N$34,4,0),"")</f>
        <v>Kg</v>
      </c>
      <c r="G26">
        <v>140</v>
      </c>
      <c r="H26" s="4">
        <f>IFERROR(VLOOKUP(Semana5[[#This Row],[Produto]],'Cálculos e Anotações'!$K$5:$N$34,3,0),0)</f>
        <v>32</v>
      </c>
      <c r="I26" s="4">
        <f>Semana5[[#This Row],[Quantidade]]*Semana5[[#This Row],[Preço Unitário]]</f>
        <v>4480</v>
      </c>
      <c r="J26" s="5"/>
      <c r="K26" t="s">
        <v>155</v>
      </c>
      <c r="L26" s="4">
        <f>IFERROR(IF(Semana5[[#This Row],[ID da Venda]]=C27,0,VLOOKUP(Semana5[[#This Row],[Entrega]],'Cálculos e Anotações'!$C$37:$D$41,2,FALSE)),0)</f>
        <v>0</v>
      </c>
      <c r="M26" s="4">
        <f>Semana5[[#This Row],[Subtotal]]*(1-Semana5[[#This Row],[Desconto]])+Semana5[[#This Row],[Taxa de Entrega]]</f>
        <v>4480</v>
      </c>
      <c r="N26" s="4" t="str">
        <f>IF(Semana5[[#This Row],[ID da Venda]]=C27,"",SUMIF(Semana5[ID da Venda],Semana5[[#This Row],[ID da Venda]],Semana5[Total]))</f>
        <v/>
      </c>
    </row>
    <row r="27" spans="2:14" x14ac:dyDescent="0.3">
      <c r="C27">
        <v>1</v>
      </c>
      <c r="D27" s="6">
        <v>45894</v>
      </c>
      <c r="E27" t="s">
        <v>82</v>
      </c>
      <c r="F27" t="str">
        <f>IFERROR(VLOOKUP(Semana5[[#This Row],[Produto]],'Cálculos e Anotações'!$K$5:$N$34,4,0),"")</f>
        <v>Pacote</v>
      </c>
      <c r="G27">
        <v>280</v>
      </c>
      <c r="H27" s="4">
        <f>IFERROR(VLOOKUP(Semana5[[#This Row],[Produto]],'Cálculos e Anotações'!$K$5:$N$34,3,0),0)</f>
        <v>1.35</v>
      </c>
      <c r="I27" s="4">
        <f>Semana5[[#This Row],[Quantidade]]*Semana5[[#This Row],[Preço Unitário]]</f>
        <v>378</v>
      </c>
      <c r="J27" s="5"/>
      <c r="K27" t="s">
        <v>155</v>
      </c>
      <c r="L27" s="4">
        <f>IFERROR(IF(Semana5[[#This Row],[ID da Venda]]=C28,0,VLOOKUP(Semana5[[#This Row],[Entrega]],'Cálculos e Anotações'!$C$37:$D$41,2,FALSE)),0)</f>
        <v>0</v>
      </c>
      <c r="M27" s="4">
        <f>Semana5[[#This Row],[Subtotal]]*(1-Semana5[[#This Row],[Desconto]])+Semana5[[#This Row],[Taxa de Entrega]]</f>
        <v>378</v>
      </c>
      <c r="N27" s="4" t="str">
        <f>IF(Semana5[[#This Row],[ID da Venda]]=C28,"",SUMIF(Semana5[ID da Venda],Semana5[[#This Row],[ID da Venda]],Semana5[Total]))</f>
        <v/>
      </c>
    </row>
    <row r="28" spans="2:14" x14ac:dyDescent="0.3">
      <c r="C28">
        <v>1</v>
      </c>
      <c r="D28" s="6">
        <v>45894</v>
      </c>
      <c r="E28" t="s">
        <v>103</v>
      </c>
      <c r="F28" t="str">
        <f>IFERROR(VLOOKUP(Semana5[[#This Row],[Produto]],'Cálculos e Anotações'!$K$5:$N$34,4,0),"")</f>
        <v>Garrafa</v>
      </c>
      <c r="G28">
        <v>125</v>
      </c>
      <c r="H28" s="4">
        <f>IFERROR(VLOOKUP(Semana5[[#This Row],[Produto]],'Cálculos e Anotações'!$K$5:$N$34,3,0),0)</f>
        <v>33.5</v>
      </c>
      <c r="I28" s="4">
        <f>Semana5[[#This Row],[Quantidade]]*Semana5[[#This Row],[Preço Unitário]]</f>
        <v>4187.5</v>
      </c>
      <c r="J28" s="5"/>
      <c r="K28" t="s">
        <v>155</v>
      </c>
      <c r="L28" s="4">
        <f>IFERROR(IF(Semana5[[#This Row],[ID da Venda]]=C29,0,VLOOKUP(Semana5[[#This Row],[Entrega]],'Cálculos e Anotações'!$C$37:$D$41,2,FALSE)),0)</f>
        <v>0</v>
      </c>
      <c r="M28" s="4">
        <f>Semana5[[#This Row],[Subtotal]]*(1-Semana5[[#This Row],[Desconto]])+Semana5[[#This Row],[Taxa de Entrega]]</f>
        <v>4187.5</v>
      </c>
      <c r="N28" s="4" t="str">
        <f>IF(Semana5[[#This Row],[ID da Venda]]=C29,"",SUMIF(Semana5[ID da Venda],Semana5[[#This Row],[ID da Venda]],Semana5[Total]))</f>
        <v/>
      </c>
    </row>
    <row r="29" spans="2:14" x14ac:dyDescent="0.3">
      <c r="C29">
        <v>1</v>
      </c>
      <c r="D29" s="6">
        <v>45894</v>
      </c>
      <c r="E29" t="s">
        <v>104</v>
      </c>
      <c r="F29" t="str">
        <f>IFERROR(VLOOKUP(Semana5[[#This Row],[Produto]],'Cálculos e Anotações'!$K$5:$N$34,4,0),"")</f>
        <v>Garrafa</v>
      </c>
      <c r="G29">
        <v>188</v>
      </c>
      <c r="H29" s="4">
        <f>IFERROR(VLOOKUP(Semana5[[#This Row],[Produto]],'Cálculos e Anotações'!$K$5:$N$34,3,0),0)</f>
        <v>58</v>
      </c>
      <c r="I29" s="4">
        <f>Semana5[[#This Row],[Quantidade]]*Semana5[[#This Row],[Preço Unitário]]</f>
        <v>10904</v>
      </c>
      <c r="J29" s="5">
        <v>0.01</v>
      </c>
      <c r="K29" t="s">
        <v>155</v>
      </c>
      <c r="L29" s="4">
        <f>IFERROR(IF(Semana5[[#This Row],[ID da Venda]]=B30,0,VLOOKUP(Semana5[[#This Row],[Entrega]],'Cálculos e Anotações'!$C$37:$D$41,2,FALSE)),0)</f>
        <v>210</v>
      </c>
      <c r="M29" s="4">
        <f>Semana5[[#This Row],[Subtotal]]*(1-Semana5[[#This Row],[Desconto]])+Semana5[[#This Row],[Taxa de Entrega]]</f>
        <v>11004.96</v>
      </c>
      <c r="N29" s="4">
        <f>IF(Semana5[[#This Row],[ID da Venda]]=B30,"",SUMIF(Semana5[ID da Venda],Semana5[[#This Row],[ID da Venda]],Semana5[Total]))</f>
        <v>26944.25</v>
      </c>
    </row>
    <row r="32" spans="2:14" ht="24" thickBot="1" x14ac:dyDescent="0.5">
      <c r="B32" s="29" t="s">
        <v>164</v>
      </c>
      <c r="C32" s="29"/>
      <c r="D32" s="29"/>
      <c r="E32" s="30"/>
      <c r="F32" s="29"/>
      <c r="G32" s="29"/>
      <c r="H32" s="29"/>
      <c r="I32" s="30"/>
      <c r="J32" s="29"/>
      <c r="K32" s="29"/>
      <c r="L32" s="29"/>
      <c r="M32" s="29"/>
      <c r="N32" s="30">
        <f>SUM(Semana5[Total])</f>
        <v>45040.35</v>
      </c>
    </row>
    <row r="33" spans="2:14" ht="24" thickBot="1" x14ac:dyDescent="0.5">
      <c r="B33" s="31" t="s">
        <v>165</v>
      </c>
      <c r="C33" s="31"/>
      <c r="D33" s="31"/>
      <c r="E33" s="32"/>
      <c r="F33" s="31"/>
      <c r="G33" s="31"/>
      <c r="H33" s="31"/>
      <c r="I33" s="32"/>
      <c r="J33" s="31"/>
      <c r="K33" s="31"/>
      <c r="L33" s="31"/>
      <c r="M33" s="31"/>
      <c r="N33" s="32">
        <f>SUM(Semana5[Taxa de Entrega])</f>
        <v>1010</v>
      </c>
    </row>
    <row r="34" spans="2:14" ht="23.4" x14ac:dyDescent="0.45">
      <c r="B34" s="31" t="s">
        <v>151</v>
      </c>
      <c r="C34" s="31"/>
      <c r="D34" s="31"/>
      <c r="E34" s="32"/>
      <c r="F34" s="31"/>
      <c r="G34" s="31"/>
      <c r="H34" s="31"/>
      <c r="I34" s="32"/>
      <c r="J34" s="31"/>
      <c r="K34" s="31"/>
      <c r="L34" s="31"/>
      <c r="M34" s="31"/>
      <c r="N34" s="57" cm="1">
        <f t="array" ref="N34">SUM(IF(FREQUENCY(Semana5[ID da Venda],Semana5[ID da Venda])&gt;0,1,0))</f>
        <v>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30AD7D-FDB2-4459-A997-7C2DFB5E277E}">
          <x14:formula1>
            <xm:f>'Cálculos e Anotações'!$K$5:$K$34</xm:f>
          </x14:formula1>
          <xm:sqref>E5:E29</xm:sqref>
        </x14:dataValidation>
        <x14:dataValidation type="list" allowBlank="1" showInputMessage="1" showErrorMessage="1" xr:uid="{85E6D2F9-5DFD-4665-BC0E-83130E83A223}">
          <x14:formula1>
            <xm:f>'Cálculos e Anotações'!$C$37:$C$41</xm:f>
          </x14:formula1>
          <xm:sqref>K5:K29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0C61D-700B-4EF5-8EBA-F5F222C5040D}">
  <dimension ref="B4:E86"/>
  <sheetViews>
    <sheetView showGridLines="0" zoomScale="85" zoomScaleNormal="85" workbookViewId="0">
      <selection activeCell="F2" sqref="F2"/>
    </sheetView>
  </sheetViews>
  <sheetFormatPr defaultRowHeight="14.4" x14ac:dyDescent="0.3"/>
  <cols>
    <col min="1" max="1" width="18.6640625" bestFit="1" customWidth="1"/>
    <col min="2" max="2" width="19.88671875" customWidth="1"/>
    <col min="3" max="3" width="20.109375" bestFit="1" customWidth="1"/>
    <col min="4" max="4" width="23.88671875" bestFit="1" customWidth="1"/>
    <col min="5" max="5" width="15" bestFit="1" customWidth="1"/>
    <col min="6" max="6" width="17.33203125" bestFit="1" customWidth="1"/>
    <col min="7" max="7" width="17.6640625" bestFit="1" customWidth="1"/>
    <col min="8" max="8" width="18.88671875" bestFit="1" customWidth="1"/>
    <col min="9" max="9" width="22.44140625" bestFit="1" customWidth="1"/>
    <col min="10" max="10" width="13.109375" bestFit="1" customWidth="1"/>
  </cols>
  <sheetData>
    <row r="4" spans="2:4" x14ac:dyDescent="0.3">
      <c r="B4" s="88" t="s">
        <v>167</v>
      </c>
      <c r="C4" t="s">
        <v>168</v>
      </c>
      <c r="D4" t="s">
        <v>169</v>
      </c>
    </row>
    <row r="5" spans="2:4" x14ac:dyDescent="0.3">
      <c r="B5" s="89">
        <v>45900</v>
      </c>
      <c r="C5">
        <v>1090</v>
      </c>
      <c r="D5" s="90">
        <v>4692.72</v>
      </c>
    </row>
    <row r="6" spans="2:4" x14ac:dyDescent="0.3">
      <c r="B6" s="91" t="s">
        <v>96</v>
      </c>
      <c r="C6">
        <v>120</v>
      </c>
      <c r="D6" s="90">
        <v>378</v>
      </c>
    </row>
    <row r="7" spans="2:4" x14ac:dyDescent="0.3">
      <c r="B7" s="91" t="s">
        <v>92</v>
      </c>
      <c r="C7">
        <v>180</v>
      </c>
      <c r="D7" s="90">
        <v>1710.72</v>
      </c>
    </row>
    <row r="8" spans="2:4" x14ac:dyDescent="0.3">
      <c r="B8" s="91" t="s">
        <v>74</v>
      </c>
      <c r="C8">
        <v>560</v>
      </c>
      <c r="D8" s="90">
        <v>1540</v>
      </c>
    </row>
    <row r="9" spans="2:4" x14ac:dyDescent="0.3">
      <c r="B9" s="91" t="s">
        <v>102</v>
      </c>
      <c r="C9">
        <v>230</v>
      </c>
      <c r="D9" s="90">
        <v>1064</v>
      </c>
    </row>
    <row r="10" spans="2:4" x14ac:dyDescent="0.3">
      <c r="B10" s="89">
        <v>45899</v>
      </c>
      <c r="C10">
        <v>740</v>
      </c>
      <c r="D10" s="90">
        <v>2091.0500000000002</v>
      </c>
    </row>
    <row r="11" spans="2:4" x14ac:dyDescent="0.3">
      <c r="B11" s="91" t="s">
        <v>74</v>
      </c>
      <c r="C11">
        <v>540</v>
      </c>
      <c r="D11" s="90">
        <v>1381.05</v>
      </c>
    </row>
    <row r="12" spans="2:4" x14ac:dyDescent="0.3">
      <c r="B12" s="91" t="s">
        <v>89</v>
      </c>
      <c r="C12">
        <v>200</v>
      </c>
      <c r="D12" s="90">
        <v>710</v>
      </c>
    </row>
    <row r="13" spans="2:4" x14ac:dyDescent="0.3">
      <c r="B13" s="89">
        <v>45898</v>
      </c>
      <c r="C13">
        <v>700</v>
      </c>
      <c r="D13" s="90">
        <v>4359.7000000000007</v>
      </c>
    </row>
    <row r="14" spans="2:4" x14ac:dyDescent="0.3">
      <c r="B14" s="91" t="s">
        <v>70</v>
      </c>
      <c r="C14">
        <v>220</v>
      </c>
      <c r="D14" s="90">
        <v>2125.2000000000003</v>
      </c>
    </row>
    <row r="15" spans="2:4" x14ac:dyDescent="0.3">
      <c r="B15" s="91" t="s">
        <v>82</v>
      </c>
      <c r="C15">
        <v>140</v>
      </c>
      <c r="D15" s="90">
        <v>189</v>
      </c>
    </row>
    <row r="16" spans="2:4" x14ac:dyDescent="0.3">
      <c r="B16" s="91" t="s">
        <v>88</v>
      </c>
      <c r="C16">
        <v>210</v>
      </c>
      <c r="D16" s="90">
        <v>1491</v>
      </c>
    </row>
    <row r="17" spans="2:4" x14ac:dyDescent="0.3">
      <c r="B17" s="91" t="s">
        <v>101</v>
      </c>
      <c r="C17">
        <v>130</v>
      </c>
      <c r="D17" s="90">
        <v>554.5</v>
      </c>
    </row>
    <row r="18" spans="2:4" x14ac:dyDescent="0.3">
      <c r="B18" s="89">
        <v>45897</v>
      </c>
      <c r="C18">
        <v>70</v>
      </c>
      <c r="D18" s="90">
        <v>658.48</v>
      </c>
    </row>
    <row r="19" spans="2:4" x14ac:dyDescent="0.3">
      <c r="B19" s="91" t="s">
        <v>96</v>
      </c>
      <c r="C19">
        <v>30</v>
      </c>
      <c r="D19" s="90">
        <v>94.5</v>
      </c>
    </row>
    <row r="20" spans="2:4" x14ac:dyDescent="0.3">
      <c r="B20" s="91" t="s">
        <v>94</v>
      </c>
      <c r="C20">
        <v>25</v>
      </c>
      <c r="D20" s="90">
        <v>109.74999999999999</v>
      </c>
    </row>
    <row r="21" spans="2:4" x14ac:dyDescent="0.3">
      <c r="B21" s="91" t="s">
        <v>72</v>
      </c>
      <c r="C21">
        <v>15</v>
      </c>
      <c r="D21" s="90">
        <v>454.23</v>
      </c>
    </row>
    <row r="22" spans="2:4" x14ac:dyDescent="0.3">
      <c r="B22" s="89">
        <v>45896</v>
      </c>
      <c r="C22">
        <v>870</v>
      </c>
      <c r="D22" s="90">
        <v>3568.45</v>
      </c>
    </row>
    <row r="23" spans="2:4" x14ac:dyDescent="0.3">
      <c r="B23" s="91" t="s">
        <v>102</v>
      </c>
      <c r="C23">
        <v>320</v>
      </c>
      <c r="D23" s="90">
        <v>1216</v>
      </c>
    </row>
    <row r="24" spans="2:4" x14ac:dyDescent="0.3">
      <c r="B24" s="91" t="s">
        <v>88</v>
      </c>
      <c r="C24">
        <v>110</v>
      </c>
      <c r="D24" s="90">
        <v>841.94999999999993</v>
      </c>
    </row>
    <row r="25" spans="2:4" x14ac:dyDescent="0.3">
      <c r="B25" s="91" t="s">
        <v>101</v>
      </c>
      <c r="C25">
        <v>310</v>
      </c>
      <c r="D25" s="90">
        <v>821.5</v>
      </c>
    </row>
    <row r="26" spans="2:4" x14ac:dyDescent="0.3">
      <c r="B26" s="91" t="s">
        <v>78</v>
      </c>
      <c r="C26">
        <v>130</v>
      </c>
      <c r="D26" s="90">
        <v>689</v>
      </c>
    </row>
    <row r="27" spans="2:4" x14ac:dyDescent="0.3">
      <c r="B27" s="89">
        <v>45895</v>
      </c>
      <c r="C27">
        <v>630</v>
      </c>
      <c r="D27" s="90">
        <v>2725.7</v>
      </c>
    </row>
    <row r="28" spans="2:4" x14ac:dyDescent="0.3">
      <c r="B28" s="91" t="s">
        <v>94</v>
      </c>
      <c r="C28">
        <v>130</v>
      </c>
      <c r="D28" s="90">
        <v>570.69999999999993</v>
      </c>
    </row>
    <row r="29" spans="2:4" x14ac:dyDescent="0.3">
      <c r="B29" s="91" t="s">
        <v>90</v>
      </c>
      <c r="C29">
        <v>200</v>
      </c>
      <c r="D29" s="90">
        <v>1360</v>
      </c>
    </row>
    <row r="30" spans="2:4" x14ac:dyDescent="0.3">
      <c r="B30" s="91" t="s">
        <v>80</v>
      </c>
      <c r="C30">
        <v>300</v>
      </c>
      <c r="D30" s="90">
        <v>795</v>
      </c>
    </row>
    <row r="31" spans="2:4" x14ac:dyDescent="0.3">
      <c r="B31" s="89">
        <v>45894</v>
      </c>
      <c r="C31">
        <v>963</v>
      </c>
      <c r="D31" s="90">
        <v>26944.25</v>
      </c>
    </row>
    <row r="32" spans="2:4" x14ac:dyDescent="0.3">
      <c r="B32" s="91" t="s">
        <v>82</v>
      </c>
      <c r="C32">
        <v>280</v>
      </c>
      <c r="D32" s="90">
        <v>378</v>
      </c>
    </row>
    <row r="33" spans="2:4" x14ac:dyDescent="0.3">
      <c r="B33" s="91" t="s">
        <v>72</v>
      </c>
      <c r="C33">
        <v>230</v>
      </c>
      <c r="D33" s="90">
        <v>6893.79</v>
      </c>
    </row>
    <row r="34" spans="2:4" x14ac:dyDescent="0.3">
      <c r="B34" s="91" t="s">
        <v>100</v>
      </c>
      <c r="C34">
        <v>140</v>
      </c>
      <c r="D34" s="90">
        <v>4480</v>
      </c>
    </row>
    <row r="35" spans="2:4" x14ac:dyDescent="0.3">
      <c r="B35" s="91" t="s">
        <v>103</v>
      </c>
      <c r="C35">
        <v>125</v>
      </c>
      <c r="D35" s="90">
        <v>4187.5</v>
      </c>
    </row>
    <row r="36" spans="2:4" x14ac:dyDescent="0.3">
      <c r="B36" s="91" t="s">
        <v>104</v>
      </c>
      <c r="C36">
        <v>188</v>
      </c>
      <c r="D36" s="90">
        <v>11004.96</v>
      </c>
    </row>
    <row r="37" spans="2:4" x14ac:dyDescent="0.3">
      <c r="B37" s="89" t="s">
        <v>170</v>
      </c>
      <c r="C37">
        <v>5063</v>
      </c>
      <c r="D37" s="90">
        <v>45040.35</v>
      </c>
    </row>
    <row r="56" spans="2:5" x14ac:dyDescent="0.3">
      <c r="B56" s="88" t="s">
        <v>171</v>
      </c>
      <c r="C56" t="s">
        <v>168</v>
      </c>
      <c r="D56" t="s">
        <v>172</v>
      </c>
      <c r="E56" t="s">
        <v>169</v>
      </c>
    </row>
    <row r="57" spans="2:5" x14ac:dyDescent="0.3">
      <c r="B57" s="92" t="s">
        <v>154</v>
      </c>
      <c r="C57">
        <v>1090</v>
      </c>
      <c r="D57" s="90">
        <v>190</v>
      </c>
      <c r="E57" s="90">
        <v>4692.72</v>
      </c>
    </row>
    <row r="58" spans="2:5" x14ac:dyDescent="0.3">
      <c r="B58" s="91" t="s">
        <v>96</v>
      </c>
      <c r="C58">
        <v>120</v>
      </c>
      <c r="D58" s="90">
        <v>0</v>
      </c>
      <c r="E58" s="90">
        <v>378</v>
      </c>
    </row>
    <row r="59" spans="2:5" x14ac:dyDescent="0.3">
      <c r="B59" s="91" t="s">
        <v>92</v>
      </c>
      <c r="C59">
        <v>180</v>
      </c>
      <c r="D59" s="90">
        <v>0</v>
      </c>
      <c r="E59" s="90">
        <v>1710.72</v>
      </c>
    </row>
    <row r="60" spans="2:5" x14ac:dyDescent="0.3">
      <c r="B60" s="91" t="s">
        <v>74</v>
      </c>
      <c r="C60">
        <v>560</v>
      </c>
      <c r="D60" s="90">
        <v>0</v>
      </c>
      <c r="E60" s="90">
        <v>1540</v>
      </c>
    </row>
    <row r="61" spans="2:5" x14ac:dyDescent="0.3">
      <c r="B61" s="91" t="s">
        <v>102</v>
      </c>
      <c r="C61">
        <v>230</v>
      </c>
      <c r="D61" s="90">
        <v>190</v>
      </c>
      <c r="E61" s="90">
        <v>1064</v>
      </c>
    </row>
    <row r="62" spans="2:5" x14ac:dyDescent="0.3">
      <c r="B62" s="92" t="s">
        <v>155</v>
      </c>
      <c r="C62">
        <v>1663</v>
      </c>
      <c r="D62" s="90">
        <v>420</v>
      </c>
      <c r="E62" s="90">
        <v>31303.95</v>
      </c>
    </row>
    <row r="63" spans="2:5" x14ac:dyDescent="0.3">
      <c r="B63" s="91" t="s">
        <v>70</v>
      </c>
      <c r="C63">
        <v>220</v>
      </c>
      <c r="D63" s="90">
        <v>0</v>
      </c>
      <c r="E63" s="90">
        <v>2125.2000000000003</v>
      </c>
    </row>
    <row r="64" spans="2:5" x14ac:dyDescent="0.3">
      <c r="B64" s="91" t="s">
        <v>82</v>
      </c>
      <c r="C64">
        <v>420</v>
      </c>
      <c r="D64" s="90">
        <v>0</v>
      </c>
      <c r="E64" s="90">
        <v>567</v>
      </c>
    </row>
    <row r="65" spans="2:5" x14ac:dyDescent="0.3">
      <c r="B65" s="91" t="s">
        <v>88</v>
      </c>
      <c r="C65">
        <v>210</v>
      </c>
      <c r="D65" s="90">
        <v>0</v>
      </c>
      <c r="E65" s="90">
        <v>1491</v>
      </c>
    </row>
    <row r="66" spans="2:5" x14ac:dyDescent="0.3">
      <c r="B66" s="91" t="s">
        <v>101</v>
      </c>
      <c r="C66">
        <v>130</v>
      </c>
      <c r="D66" s="90">
        <v>210</v>
      </c>
      <c r="E66" s="90">
        <v>554.5</v>
      </c>
    </row>
    <row r="67" spans="2:5" x14ac:dyDescent="0.3">
      <c r="B67" s="91" t="s">
        <v>72</v>
      </c>
      <c r="C67">
        <v>230</v>
      </c>
      <c r="D67" s="90">
        <v>0</v>
      </c>
      <c r="E67" s="90">
        <v>6893.79</v>
      </c>
    </row>
    <row r="68" spans="2:5" x14ac:dyDescent="0.3">
      <c r="B68" s="91" t="s">
        <v>100</v>
      </c>
      <c r="C68">
        <v>140</v>
      </c>
      <c r="D68" s="90">
        <v>0</v>
      </c>
      <c r="E68" s="90">
        <v>4480</v>
      </c>
    </row>
    <row r="69" spans="2:5" x14ac:dyDescent="0.3">
      <c r="B69" s="91" t="s">
        <v>103</v>
      </c>
      <c r="C69">
        <v>125</v>
      </c>
      <c r="D69" s="90">
        <v>0</v>
      </c>
      <c r="E69" s="90">
        <v>4187.5</v>
      </c>
    </row>
    <row r="70" spans="2:5" x14ac:dyDescent="0.3">
      <c r="B70" s="91" t="s">
        <v>104</v>
      </c>
      <c r="C70">
        <v>188</v>
      </c>
      <c r="D70" s="90">
        <v>210</v>
      </c>
      <c r="E70" s="90">
        <v>11004.96</v>
      </c>
    </row>
    <row r="71" spans="2:5" x14ac:dyDescent="0.3">
      <c r="B71" s="92" t="s">
        <v>156</v>
      </c>
      <c r="C71">
        <v>1370</v>
      </c>
      <c r="D71" s="90">
        <v>300</v>
      </c>
      <c r="E71" s="90">
        <v>4816.75</v>
      </c>
    </row>
    <row r="72" spans="2:5" x14ac:dyDescent="0.3">
      <c r="B72" s="91" t="s">
        <v>74</v>
      </c>
      <c r="C72">
        <v>540</v>
      </c>
      <c r="D72" s="90">
        <v>0</v>
      </c>
      <c r="E72" s="90">
        <v>1381.05</v>
      </c>
    </row>
    <row r="73" spans="2:5" x14ac:dyDescent="0.3">
      <c r="B73" s="91" t="s">
        <v>89</v>
      </c>
      <c r="C73">
        <v>200</v>
      </c>
      <c r="D73" s="90">
        <v>150</v>
      </c>
      <c r="E73" s="90">
        <v>710</v>
      </c>
    </row>
    <row r="74" spans="2:5" x14ac:dyDescent="0.3">
      <c r="B74" s="91" t="s">
        <v>94</v>
      </c>
      <c r="C74">
        <v>130</v>
      </c>
      <c r="D74" s="90">
        <v>0</v>
      </c>
      <c r="E74" s="90">
        <v>570.69999999999993</v>
      </c>
    </row>
    <row r="75" spans="2:5" x14ac:dyDescent="0.3">
      <c r="B75" s="91" t="s">
        <v>90</v>
      </c>
      <c r="C75">
        <v>200</v>
      </c>
      <c r="D75" s="90">
        <v>0</v>
      </c>
      <c r="E75" s="90">
        <v>1360</v>
      </c>
    </row>
    <row r="76" spans="2:5" x14ac:dyDescent="0.3">
      <c r="B76" s="91" t="s">
        <v>80</v>
      </c>
      <c r="C76">
        <v>300</v>
      </c>
      <c r="D76" s="90">
        <v>150</v>
      </c>
      <c r="E76" s="90">
        <v>795</v>
      </c>
    </row>
    <row r="77" spans="2:5" x14ac:dyDescent="0.3">
      <c r="B77" s="92" t="s">
        <v>152</v>
      </c>
      <c r="C77">
        <v>70</v>
      </c>
      <c r="D77" s="90">
        <v>0</v>
      </c>
      <c r="E77" s="90">
        <v>658.48</v>
      </c>
    </row>
    <row r="78" spans="2:5" x14ac:dyDescent="0.3">
      <c r="B78" s="91" t="s">
        <v>96</v>
      </c>
      <c r="C78">
        <v>30</v>
      </c>
      <c r="D78" s="90">
        <v>0</v>
      </c>
      <c r="E78" s="90">
        <v>94.5</v>
      </c>
    </row>
    <row r="79" spans="2:5" x14ac:dyDescent="0.3">
      <c r="B79" s="91" t="s">
        <v>94</v>
      </c>
      <c r="C79">
        <v>25</v>
      </c>
      <c r="D79" s="90">
        <v>0</v>
      </c>
      <c r="E79" s="90">
        <v>109.74999999999999</v>
      </c>
    </row>
    <row r="80" spans="2:5" x14ac:dyDescent="0.3">
      <c r="B80" s="91" t="s">
        <v>72</v>
      </c>
      <c r="C80">
        <v>15</v>
      </c>
      <c r="D80" s="90">
        <v>0</v>
      </c>
      <c r="E80" s="90">
        <v>454.23</v>
      </c>
    </row>
    <row r="81" spans="2:5" x14ac:dyDescent="0.3">
      <c r="B81" s="92" t="s">
        <v>153</v>
      </c>
      <c r="C81">
        <v>870</v>
      </c>
      <c r="D81" s="90">
        <v>100</v>
      </c>
      <c r="E81" s="90">
        <v>3568.45</v>
      </c>
    </row>
    <row r="82" spans="2:5" x14ac:dyDescent="0.3">
      <c r="B82" s="91" t="s">
        <v>102</v>
      </c>
      <c r="C82">
        <v>320</v>
      </c>
      <c r="D82" s="90">
        <v>0</v>
      </c>
      <c r="E82" s="90">
        <v>1216</v>
      </c>
    </row>
    <row r="83" spans="2:5" x14ac:dyDescent="0.3">
      <c r="B83" s="91" t="s">
        <v>88</v>
      </c>
      <c r="C83">
        <v>110</v>
      </c>
      <c r="D83" s="90">
        <v>100</v>
      </c>
      <c r="E83" s="90">
        <v>841.94999999999993</v>
      </c>
    </row>
    <row r="84" spans="2:5" x14ac:dyDescent="0.3">
      <c r="B84" s="91" t="s">
        <v>101</v>
      </c>
      <c r="C84">
        <v>310</v>
      </c>
      <c r="D84" s="90">
        <v>0</v>
      </c>
      <c r="E84" s="90">
        <v>821.5</v>
      </c>
    </row>
    <row r="85" spans="2:5" x14ac:dyDescent="0.3">
      <c r="B85" s="91" t="s">
        <v>78</v>
      </c>
      <c r="C85">
        <v>130</v>
      </c>
      <c r="D85" s="90">
        <v>0</v>
      </c>
      <c r="E85" s="90">
        <v>689</v>
      </c>
    </row>
    <row r="86" spans="2:5" x14ac:dyDescent="0.3">
      <c r="B86" s="92" t="s">
        <v>170</v>
      </c>
      <c r="C86">
        <v>5063</v>
      </c>
      <c r="D86" s="90">
        <v>1010</v>
      </c>
      <c r="E86" s="90">
        <v>45040.35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C4:N59"/>
  <sheetViews>
    <sheetView topLeftCell="A24" workbookViewId="0">
      <selection activeCell="C5" sqref="C5"/>
    </sheetView>
  </sheetViews>
  <sheetFormatPr defaultRowHeight="14.4" x14ac:dyDescent="0.3"/>
  <cols>
    <col min="3" max="3" width="20.109375" bestFit="1" customWidth="1"/>
    <col min="4" max="4" width="15.33203125" bestFit="1" customWidth="1"/>
    <col min="7" max="7" width="20" customWidth="1"/>
    <col min="11" max="14" width="25.33203125" customWidth="1"/>
    <col min="15" max="17" width="23" customWidth="1"/>
  </cols>
  <sheetData>
    <row r="4" spans="3:14" x14ac:dyDescent="0.3">
      <c r="K4" s="7" t="s">
        <v>178</v>
      </c>
      <c r="L4" s="7" t="s">
        <v>179</v>
      </c>
      <c r="M4" s="7" t="s">
        <v>180</v>
      </c>
      <c r="N4" s="7" t="s">
        <v>63</v>
      </c>
    </row>
    <row r="5" spans="3:14" x14ac:dyDescent="0.3">
      <c r="C5" s="14" t="s">
        <v>181</v>
      </c>
      <c r="D5">
        <f>INDEX(K5:N28,5,3)</f>
        <v>1.35</v>
      </c>
      <c r="G5" s="14" t="s">
        <v>182</v>
      </c>
      <c r="H5" s="14"/>
      <c r="K5" t="s">
        <v>75</v>
      </c>
      <c r="L5" s="4">
        <v>3.1</v>
      </c>
      <c r="M5" s="4">
        <v>3.45</v>
      </c>
      <c r="N5" t="s">
        <v>183</v>
      </c>
    </row>
    <row r="6" spans="3:14" x14ac:dyDescent="0.3">
      <c r="G6">
        <f>MATCH(6.2,L5:L28,0)</f>
        <v>13</v>
      </c>
      <c r="K6" t="s">
        <v>77</v>
      </c>
      <c r="L6" s="4">
        <v>1.1499999999999999</v>
      </c>
      <c r="M6" s="4">
        <v>1.29</v>
      </c>
      <c r="N6" t="s">
        <v>184</v>
      </c>
    </row>
    <row r="7" spans="3:14" x14ac:dyDescent="0.3">
      <c r="C7" s="15" t="s">
        <v>185</v>
      </c>
      <c r="D7" s="16"/>
      <c r="E7" s="16"/>
      <c r="F7" s="17"/>
      <c r="G7" t="str" cm="1">
        <f t="array" ref="G7">INDEX(K5:N28,G6,1)</f>
        <v>Feijão</v>
      </c>
      <c r="H7" t="s">
        <v>186</v>
      </c>
      <c r="K7" t="s">
        <v>78</v>
      </c>
      <c r="L7" s="4">
        <v>4.8</v>
      </c>
      <c r="M7" s="4">
        <v>5.3</v>
      </c>
      <c r="N7" t="s">
        <v>187</v>
      </c>
    </row>
    <row r="8" spans="3:14" ht="14.4" customHeight="1" x14ac:dyDescent="0.3">
      <c r="C8" s="18" t="s">
        <v>188</v>
      </c>
      <c r="D8">
        <f>MATCH(K14,K14:N14,0)</f>
        <v>1</v>
      </c>
      <c r="E8" s="119" t="s">
        <v>189</v>
      </c>
      <c r="F8" s="117"/>
      <c r="G8" s="120" t="s">
        <v>190</v>
      </c>
      <c r="H8" s="119"/>
      <c r="K8" t="s">
        <v>80</v>
      </c>
      <c r="L8" s="4">
        <v>1.95</v>
      </c>
      <c r="M8" s="4">
        <v>2.15</v>
      </c>
      <c r="N8" t="s">
        <v>184</v>
      </c>
    </row>
    <row r="9" spans="3:14" x14ac:dyDescent="0.3">
      <c r="C9" s="18"/>
      <c r="E9" s="119"/>
      <c r="F9" s="117"/>
      <c r="G9" s="120"/>
      <c r="H9" s="119"/>
      <c r="K9" t="s">
        <v>82</v>
      </c>
      <c r="L9" s="4">
        <v>1.19</v>
      </c>
      <c r="M9" s="4">
        <v>1.35</v>
      </c>
      <c r="N9" t="s">
        <v>184</v>
      </c>
    </row>
    <row r="10" spans="3:14" x14ac:dyDescent="0.3">
      <c r="C10" s="18" t="s">
        <v>191</v>
      </c>
      <c r="E10" s="119"/>
      <c r="F10" s="117"/>
      <c r="G10" s="120"/>
      <c r="H10" s="119"/>
      <c r="K10" t="s">
        <v>84</v>
      </c>
      <c r="L10" s="4">
        <v>0.85</v>
      </c>
      <c r="M10" s="4">
        <v>0.95</v>
      </c>
      <c r="N10" t="s">
        <v>184</v>
      </c>
    </row>
    <row r="11" spans="3:14" x14ac:dyDescent="0.3">
      <c r="C11" s="18"/>
      <c r="D11" t="s">
        <v>192</v>
      </c>
      <c r="F11" s="19"/>
      <c r="K11" t="s">
        <v>72</v>
      </c>
      <c r="L11" s="4">
        <v>26.9</v>
      </c>
      <c r="M11" s="4">
        <v>30.9</v>
      </c>
      <c r="N11" t="s">
        <v>187</v>
      </c>
    </row>
    <row r="12" spans="3:14" x14ac:dyDescent="0.3">
      <c r="C12" s="18" t="s">
        <v>193</v>
      </c>
      <c r="D12">
        <f>MATCH(K23,K5:K28,0)</f>
        <v>19</v>
      </c>
      <c r="E12" s="119" t="s">
        <v>194</v>
      </c>
      <c r="F12" s="117"/>
      <c r="K12" t="s">
        <v>85</v>
      </c>
      <c r="L12" s="4">
        <v>3.9</v>
      </c>
      <c r="M12" s="4">
        <v>4.3499999999999996</v>
      </c>
      <c r="N12" t="s">
        <v>187</v>
      </c>
    </row>
    <row r="13" spans="3:14" x14ac:dyDescent="0.3">
      <c r="C13" s="18"/>
      <c r="E13" s="119"/>
      <c r="F13" s="117"/>
      <c r="K13" t="s">
        <v>74</v>
      </c>
      <c r="L13" s="4">
        <v>2.5</v>
      </c>
      <c r="M13" s="4">
        <v>2.75</v>
      </c>
      <c r="N13" t="s">
        <v>195</v>
      </c>
    </row>
    <row r="14" spans="3:14" x14ac:dyDescent="0.3">
      <c r="C14" s="18"/>
      <c r="E14" s="119"/>
      <c r="F14" s="117"/>
      <c r="K14" t="s">
        <v>86</v>
      </c>
      <c r="L14" s="4">
        <v>4.9000000000000004</v>
      </c>
      <c r="M14" s="4">
        <v>5.45</v>
      </c>
      <c r="N14" t="s">
        <v>196</v>
      </c>
    </row>
    <row r="15" spans="3:14" x14ac:dyDescent="0.3">
      <c r="C15" s="18"/>
      <c r="F15" s="19"/>
      <c r="K15" t="s">
        <v>88</v>
      </c>
      <c r="L15" s="4">
        <v>6.5</v>
      </c>
      <c r="M15" s="4">
        <v>7.1</v>
      </c>
      <c r="N15" t="s">
        <v>197</v>
      </c>
    </row>
    <row r="16" spans="3:14" ht="14.4" customHeight="1" x14ac:dyDescent="0.3">
      <c r="C16" s="18">
        <f>MATCH(L15,L5:L28,1)</f>
        <v>16</v>
      </c>
      <c r="D16" s="119" t="s">
        <v>198</v>
      </c>
      <c r="E16" s="119"/>
      <c r="F16" s="117"/>
      <c r="K16" t="s">
        <v>89</v>
      </c>
      <c r="L16" s="4">
        <v>2.5</v>
      </c>
      <c r="M16" s="4">
        <v>2.8</v>
      </c>
      <c r="N16" t="s">
        <v>183</v>
      </c>
    </row>
    <row r="17" spans="3:14" x14ac:dyDescent="0.3">
      <c r="C17" s="18">
        <f>COUNTIF(L5:L28,"&lt;6,345")</f>
        <v>16</v>
      </c>
      <c r="D17" s="119"/>
      <c r="E17" s="119"/>
      <c r="F17" s="117"/>
      <c r="K17" t="s">
        <v>90</v>
      </c>
      <c r="L17" s="4">
        <v>6.2</v>
      </c>
      <c r="M17" s="4">
        <v>6.8</v>
      </c>
      <c r="N17" t="s">
        <v>187</v>
      </c>
    </row>
    <row r="18" spans="3:14" ht="28.8" x14ac:dyDescent="0.3">
      <c r="C18" s="18"/>
      <c r="D18" s="10" t="s">
        <v>199</v>
      </c>
      <c r="E18" s="10"/>
      <c r="F18" s="23"/>
      <c r="K18" t="s">
        <v>92</v>
      </c>
      <c r="L18" s="4">
        <v>8.8000000000000007</v>
      </c>
      <c r="M18" s="4">
        <v>9.9</v>
      </c>
      <c r="N18" t="s">
        <v>187</v>
      </c>
    </row>
    <row r="19" spans="3:14" x14ac:dyDescent="0.3">
      <c r="C19" s="20"/>
      <c r="D19" s="21"/>
      <c r="E19" s="21"/>
      <c r="F19" s="22"/>
      <c r="K19" t="s">
        <v>94</v>
      </c>
      <c r="L19" s="4">
        <v>3.99</v>
      </c>
      <c r="M19" s="4">
        <v>4.3899999999999997</v>
      </c>
      <c r="N19" t="s">
        <v>200</v>
      </c>
    </row>
    <row r="20" spans="3:14" x14ac:dyDescent="0.3">
      <c r="K20" t="s">
        <v>96</v>
      </c>
      <c r="L20" s="4">
        <v>2.8</v>
      </c>
      <c r="M20" s="4">
        <v>3.15</v>
      </c>
      <c r="N20" t="s">
        <v>183</v>
      </c>
    </row>
    <row r="21" spans="3:14" x14ac:dyDescent="0.3">
      <c r="K21" t="s">
        <v>98</v>
      </c>
      <c r="L21" s="4">
        <v>26.5</v>
      </c>
      <c r="M21" s="4">
        <v>30.5</v>
      </c>
      <c r="N21" t="s">
        <v>187</v>
      </c>
    </row>
    <row r="22" spans="3:14" x14ac:dyDescent="0.3">
      <c r="C22" t="s">
        <v>201</v>
      </c>
      <c r="K22" t="s">
        <v>100</v>
      </c>
      <c r="L22" s="4">
        <v>28</v>
      </c>
      <c r="M22" s="4">
        <v>32</v>
      </c>
      <c r="N22" t="s">
        <v>187</v>
      </c>
    </row>
    <row r="23" spans="3:14" x14ac:dyDescent="0.3">
      <c r="C23" t="s">
        <v>202</v>
      </c>
      <c r="K23" t="s">
        <v>101</v>
      </c>
      <c r="L23" s="4">
        <v>2.4</v>
      </c>
      <c r="M23" s="4">
        <v>2.65</v>
      </c>
      <c r="N23" t="s">
        <v>200</v>
      </c>
    </row>
    <row r="24" spans="3:14" x14ac:dyDescent="0.3">
      <c r="C24" t="s">
        <v>203</v>
      </c>
      <c r="K24" t="s">
        <v>102</v>
      </c>
      <c r="L24" s="4">
        <v>3.4</v>
      </c>
      <c r="M24" s="4">
        <v>3.8</v>
      </c>
      <c r="N24" t="s">
        <v>200</v>
      </c>
    </row>
    <row r="25" spans="3:14" x14ac:dyDescent="0.3">
      <c r="C25" t="s">
        <v>204</v>
      </c>
      <c r="K25" t="s">
        <v>69</v>
      </c>
      <c r="L25" s="4">
        <v>5.7</v>
      </c>
      <c r="M25" s="4">
        <v>6.3</v>
      </c>
      <c r="N25" t="s">
        <v>187</v>
      </c>
    </row>
    <row r="26" spans="3:14" x14ac:dyDescent="0.3">
      <c r="C26" t="s">
        <v>205</v>
      </c>
      <c r="K26" t="s">
        <v>70</v>
      </c>
      <c r="L26" s="4">
        <v>9.5</v>
      </c>
      <c r="M26" s="4">
        <v>10.5</v>
      </c>
      <c r="N26" t="s">
        <v>187</v>
      </c>
    </row>
    <row r="27" spans="3:14" x14ac:dyDescent="0.3">
      <c r="C27" t="s">
        <v>206</v>
      </c>
      <c r="K27" t="s">
        <v>103</v>
      </c>
      <c r="L27" s="4">
        <v>28</v>
      </c>
      <c r="M27" s="4">
        <v>33.5</v>
      </c>
      <c r="N27" t="s">
        <v>207</v>
      </c>
    </row>
    <row r="28" spans="3:14" x14ac:dyDescent="0.3">
      <c r="C28" t="s">
        <v>208</v>
      </c>
      <c r="K28" t="s">
        <v>104</v>
      </c>
      <c r="L28" s="4">
        <v>48</v>
      </c>
      <c r="M28" s="4">
        <v>58</v>
      </c>
      <c r="N28" t="s">
        <v>207</v>
      </c>
    </row>
    <row r="30" spans="3:14" x14ac:dyDescent="0.3">
      <c r="E30" s="7"/>
    </row>
    <row r="34" spans="3:14" ht="15" thickBot="1" x14ac:dyDescent="0.35">
      <c r="K34" s="27"/>
      <c r="L34" s="27"/>
      <c r="M34" s="27"/>
      <c r="N34" s="27"/>
    </row>
    <row r="35" spans="3:14" ht="15" thickTop="1" x14ac:dyDescent="0.3"/>
    <row r="36" spans="3:14" x14ac:dyDescent="0.3">
      <c r="C36" s="7" t="s">
        <v>171</v>
      </c>
      <c r="D36" s="7" t="s">
        <v>209</v>
      </c>
    </row>
    <row r="37" spans="3:14" x14ac:dyDescent="0.3">
      <c r="C37" t="s">
        <v>153</v>
      </c>
      <c r="D37" s="4">
        <v>100</v>
      </c>
    </row>
    <row r="38" spans="3:14" ht="14.4" customHeight="1" x14ac:dyDescent="0.3">
      <c r="C38" t="s">
        <v>152</v>
      </c>
      <c r="D38" s="4">
        <v>0</v>
      </c>
    </row>
    <row r="39" spans="3:14" ht="14.4" customHeight="1" x14ac:dyDescent="0.3">
      <c r="C39" t="s">
        <v>154</v>
      </c>
      <c r="D39" s="4">
        <v>190</v>
      </c>
    </row>
    <row r="40" spans="3:14" x14ac:dyDescent="0.3">
      <c r="C40" t="s">
        <v>155</v>
      </c>
      <c r="D40" s="4">
        <v>210</v>
      </c>
    </row>
    <row r="41" spans="3:14" x14ac:dyDescent="0.3">
      <c r="C41" t="s">
        <v>156</v>
      </c>
      <c r="D41" s="4">
        <v>150</v>
      </c>
    </row>
    <row r="44" spans="3:14" x14ac:dyDescent="0.3">
      <c r="C44" s="56" t="s">
        <v>210</v>
      </c>
      <c r="D44" s="16"/>
      <c r="E44" s="16"/>
      <c r="F44" s="16"/>
      <c r="G44" s="16"/>
      <c r="H44" s="16"/>
      <c r="I44" s="16"/>
      <c r="J44" s="118" t="s">
        <v>211</v>
      </c>
      <c r="K44" s="118"/>
      <c r="L44" s="16"/>
      <c r="M44" s="17"/>
    </row>
    <row r="45" spans="3:14" x14ac:dyDescent="0.3">
      <c r="C45" s="18"/>
      <c r="J45" s="119"/>
      <c r="K45" s="119"/>
      <c r="M45" s="19"/>
    </row>
    <row r="46" spans="3:14" x14ac:dyDescent="0.3">
      <c r="C46" s="18"/>
      <c r="E46" t="s">
        <v>212</v>
      </c>
      <c r="J46" s="119"/>
      <c r="K46" s="119"/>
      <c r="M46" s="19"/>
    </row>
    <row r="47" spans="3:14" x14ac:dyDescent="0.3">
      <c r="C47" s="18">
        <v>1</v>
      </c>
      <c r="E47" cm="1">
        <f t="array" ref="E47:E55">FREQUENCY(C47:C54,C47:C54)</f>
        <v>3</v>
      </c>
      <c r="F47" t="s">
        <v>213</v>
      </c>
      <c r="G47">
        <f>IF(E47&gt;0,1,0)</f>
        <v>1</v>
      </c>
      <c r="H47">
        <f>SUM(G47:G54)</f>
        <v>3</v>
      </c>
      <c r="J47" cm="1">
        <f t="array" ref="J47:J48">FREQUENCY(C47:C54,2)</f>
        <v>5</v>
      </c>
      <c r="K47" t="s">
        <v>214</v>
      </c>
      <c r="L47" cm="1">
        <f t="array" ref="L47:L52">FREQUENCY(C47:C54,C47:C51)</f>
        <v>3</v>
      </c>
      <c r="M47" s="117" t="s">
        <v>215</v>
      </c>
    </row>
    <row r="48" spans="3:14" x14ac:dyDescent="0.3">
      <c r="C48" s="18">
        <v>1</v>
      </c>
      <c r="E48">
        <v>0</v>
      </c>
      <c r="G48">
        <f t="shared" ref="G48:G54" si="0">IF(E48&gt;0,1,0)</f>
        <v>0</v>
      </c>
      <c r="J48">
        <v>3</v>
      </c>
      <c r="K48" t="s">
        <v>216</v>
      </c>
      <c r="L48">
        <v>0</v>
      </c>
      <c r="M48" s="117"/>
    </row>
    <row r="49" spans="3:13" x14ac:dyDescent="0.3">
      <c r="C49" s="18">
        <v>1</v>
      </c>
      <c r="E49">
        <v>0</v>
      </c>
      <c r="G49">
        <f t="shared" si="0"/>
        <v>0</v>
      </c>
      <c r="L49">
        <v>0</v>
      </c>
      <c r="M49" s="117"/>
    </row>
    <row r="50" spans="3:13" x14ac:dyDescent="0.3">
      <c r="C50" s="18">
        <v>2</v>
      </c>
      <c r="E50">
        <v>2</v>
      </c>
      <c r="F50" t="s">
        <v>217</v>
      </c>
      <c r="G50">
        <f t="shared" si="0"/>
        <v>1</v>
      </c>
      <c r="L50">
        <v>2</v>
      </c>
      <c r="M50" s="19"/>
    </row>
    <row r="51" spans="3:13" x14ac:dyDescent="0.3">
      <c r="C51" s="18">
        <v>2</v>
      </c>
      <c r="E51">
        <v>0</v>
      </c>
      <c r="G51">
        <f t="shared" si="0"/>
        <v>0</v>
      </c>
      <c r="L51">
        <v>0</v>
      </c>
      <c r="M51" s="19"/>
    </row>
    <row r="52" spans="3:13" x14ac:dyDescent="0.3">
      <c r="C52" s="18">
        <v>3</v>
      </c>
      <c r="E52">
        <v>3</v>
      </c>
      <c r="F52" t="s">
        <v>213</v>
      </c>
      <c r="G52">
        <f t="shared" si="0"/>
        <v>1</v>
      </c>
      <c r="L52">
        <v>3</v>
      </c>
      <c r="M52" s="19"/>
    </row>
    <row r="53" spans="3:13" x14ac:dyDescent="0.3">
      <c r="C53" s="18">
        <v>3</v>
      </c>
      <c r="E53">
        <v>0</v>
      </c>
      <c r="G53">
        <f t="shared" si="0"/>
        <v>0</v>
      </c>
      <c r="M53" s="19"/>
    </row>
    <row r="54" spans="3:13" x14ac:dyDescent="0.3">
      <c r="C54" s="18">
        <v>3</v>
      </c>
      <c r="E54">
        <v>0</v>
      </c>
      <c r="G54">
        <f t="shared" si="0"/>
        <v>0</v>
      </c>
      <c r="M54" s="19"/>
    </row>
    <row r="55" spans="3:13" x14ac:dyDescent="0.3">
      <c r="C55" s="18"/>
      <c r="E55">
        <v>0</v>
      </c>
      <c r="M55" s="19"/>
    </row>
    <row r="56" spans="3:13" x14ac:dyDescent="0.3">
      <c r="C56" s="18"/>
      <c r="M56" s="19"/>
    </row>
    <row r="57" spans="3:13" x14ac:dyDescent="0.3">
      <c r="C57" s="18"/>
      <c r="G57" cm="1">
        <f t="array" ref="G57">SUM(IF(FREQUENCY(C47:C54,C47:C54)&gt;0,1,0))</f>
        <v>3</v>
      </c>
      <c r="H57" s="14" t="s">
        <v>218</v>
      </c>
      <c r="I57" s="14"/>
      <c r="J57" s="14"/>
      <c r="K57" s="14"/>
      <c r="L57" s="14"/>
      <c r="M57" s="19"/>
    </row>
    <row r="58" spans="3:13" x14ac:dyDescent="0.3">
      <c r="C58" s="18"/>
      <c r="M58" s="19"/>
    </row>
    <row r="59" spans="3:13" x14ac:dyDescent="0.3">
      <c r="C59" s="20"/>
      <c r="D59" s="21"/>
      <c r="E59" s="21"/>
      <c r="F59" s="21"/>
      <c r="G59" s="21"/>
      <c r="H59" s="21"/>
      <c r="I59" s="21"/>
      <c r="J59" s="21"/>
      <c r="K59" s="21"/>
      <c r="L59" s="21"/>
      <c r="M59" s="22"/>
    </row>
  </sheetData>
  <autoFilter ref="K4:N4" xr:uid="{00000000-0001-0000-0700-000000000000}">
    <sortState xmlns:xlrd2="http://schemas.microsoft.com/office/spreadsheetml/2017/richdata2" ref="K5:N28">
      <sortCondition ref="K4"/>
    </sortState>
  </autoFilter>
  <mergeCells count="6">
    <mergeCell ref="M47:M49"/>
    <mergeCell ref="J44:K46"/>
    <mergeCell ref="E8:F10"/>
    <mergeCell ref="E12:F14"/>
    <mergeCell ref="D16:F17"/>
    <mergeCell ref="G8:H10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Introdução</vt:lpstr>
      <vt:lpstr>Menu</vt:lpstr>
      <vt:lpstr>Despesas </vt:lpstr>
      <vt:lpstr>Compras Mercadorias</vt:lpstr>
      <vt:lpstr>Investimentos</vt:lpstr>
      <vt:lpstr>Controle de Estoque</vt:lpstr>
      <vt:lpstr>Resultados</vt:lpstr>
      <vt:lpstr>Vendas do Mês</vt:lpstr>
      <vt:lpstr>Semana 1</vt:lpstr>
      <vt:lpstr>Análise Semana 1</vt:lpstr>
      <vt:lpstr>Semana 2</vt:lpstr>
      <vt:lpstr>Análise Semana 2</vt:lpstr>
      <vt:lpstr>Semana 3</vt:lpstr>
      <vt:lpstr>Análise Semana 3</vt:lpstr>
      <vt:lpstr>Semana 4</vt:lpstr>
      <vt:lpstr>Análise Semana 4</vt:lpstr>
      <vt:lpstr>Semana 5</vt:lpstr>
      <vt:lpstr>Análise Semana 5</vt:lpstr>
      <vt:lpstr>Cálculos e Anotações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Evaristo de Oliveira</dc:creator>
  <cp:keywords/>
  <dc:description/>
  <cp:lastModifiedBy>Pedro Evaristo</cp:lastModifiedBy>
  <cp:revision/>
  <dcterms:created xsi:type="dcterms:W3CDTF">2015-06-24T19:21:22Z</dcterms:created>
  <dcterms:modified xsi:type="dcterms:W3CDTF">2025-08-23T21:30:51Z</dcterms:modified>
  <cp:category/>
  <cp:contentStatus/>
</cp:coreProperties>
</file>